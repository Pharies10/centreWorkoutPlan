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haries/Desktop/Centre/centreWorkoutPlan/"/>
    </mc:Choice>
  </mc:AlternateContent>
  <xr:revisionPtr revIDLastSave="0" documentId="13_ncr:1_{3FC32B3D-15E1-FA49-BF88-DF591A97F8E6}" xr6:coauthVersionLast="43" xr6:coauthVersionMax="43" xr10:uidLastSave="{00000000-0000-0000-0000-000000000000}"/>
  <bookViews>
    <workbookView xWindow="0" yWindow="460" windowWidth="33600" windowHeight="19420" xr2:uid="{00000000-000D-0000-FFFF-FFFF00000000}"/>
  </bookViews>
  <sheets>
    <sheet name="Program" sheetId="2" r:id="rId1"/>
    <sheet name="2-Day Total Body Split" sheetId="4" r:id="rId2"/>
    <sheet name="Program Sheet" sheetId="1" r:id="rId3"/>
    <sheet name="Exercise Selection" sheetId="3" r:id="rId4"/>
    <sheet name="Athlete Database" sheetId="6" r:id="rId5"/>
  </sheets>
  <definedNames>
    <definedName name="Athlete_Max">'Athlete Database'!$A$2:$E$500</definedName>
    <definedName name="Athletes">'Athlete Database'!$A$2:$A$500</definedName>
    <definedName name="Catagories">'Exercise Selection'!$1:$1</definedName>
    <definedName name="Core">'Exercise Selection'!$F$2:$F$50</definedName>
    <definedName name="Lower_Body">'Exercise Selection'!$B$2:$B$50</definedName>
    <definedName name="PC">'Exercise Selection'!$D$2:$D$50</definedName>
    <definedName name="_xlnm.Print_Area" localSheetId="1">'2-Day Total Body Split'!$A$1:$AG$42</definedName>
    <definedName name="_xlnm.Print_Area" localSheetId="0">Program!$A$1:$AX$42</definedName>
    <definedName name="PS">'Exercise Selection'!$E$2:$E$50</definedName>
    <definedName name="T_12">'Program Sheet'!$B$1:$B$36</definedName>
    <definedName name="T_3">'Program Sheet'!$O$1:$O$6</definedName>
    <definedName name="T_45">'Program Sheet'!$AB$1:$AB$50</definedName>
    <definedName name="T_67">'Program Sheet'!$AO$1:$AO$50</definedName>
    <definedName name="Tier_12">'Program Sheet'!$B$1:$M$36</definedName>
    <definedName name="Tier_12_Names">'Program Sheet'!$A$1:$A$12</definedName>
    <definedName name="Tier_3">'Program Sheet'!$O$1:$Z$6</definedName>
    <definedName name="Tier_3_Names">'Program Sheet'!$N$1:$N$36</definedName>
    <definedName name="Tier_45">'Program Sheet'!$AB$1:$AM$50</definedName>
    <definedName name="Tier_45_Names">'Program Sheet'!$AA$1:$AA$50</definedName>
    <definedName name="Tier_67">'Program Sheet'!$AO$1:$AZ$50</definedName>
    <definedName name="Tier_67_Names">'Program Sheet'!$AN$1:$AN$37</definedName>
    <definedName name="Total_Body">'Exercise Selection'!$A$2:$A$50</definedName>
    <definedName name="Upper_Body">'Exercise Selection'!$C$2:$C$50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" i="4" l="1"/>
  <c r="Y5" i="4" s="1"/>
  <c r="X3" i="4"/>
  <c r="X5" i="4" s="1"/>
  <c r="W3" i="4"/>
  <c r="W5" i="4" s="1"/>
  <c r="V3" i="4"/>
  <c r="V5" i="4" s="1"/>
  <c r="AE28" i="4"/>
  <c r="AD28" i="4"/>
  <c r="AA28" i="4"/>
  <c r="Z28" i="4"/>
  <c r="V28" i="4"/>
  <c r="W28" i="4"/>
  <c r="M28" i="4"/>
  <c r="I28" i="4"/>
  <c r="E28" i="4"/>
  <c r="H3" i="2" l="1"/>
  <c r="H5" i="2" s="1"/>
  <c r="G3" i="2"/>
  <c r="G5" i="2" s="1"/>
  <c r="F3" i="2"/>
  <c r="F5" i="2" s="1"/>
  <c r="E3" i="2"/>
  <c r="E5" i="2" s="1"/>
  <c r="AG35" i="4" l="1"/>
  <c r="AF35" i="4"/>
  <c r="AE35" i="4"/>
  <c r="AD35" i="4"/>
  <c r="AC35" i="4"/>
  <c r="AB35" i="4"/>
  <c r="AA35" i="4"/>
  <c r="Z35" i="4"/>
  <c r="Y35" i="4"/>
  <c r="X35" i="4"/>
  <c r="W35" i="4"/>
  <c r="V35" i="4"/>
  <c r="O35" i="4"/>
  <c r="N35" i="4"/>
  <c r="M35" i="4"/>
  <c r="K35" i="4"/>
  <c r="J35" i="4"/>
  <c r="I35" i="4"/>
  <c r="G35" i="4"/>
  <c r="F35" i="4"/>
  <c r="E35" i="4"/>
  <c r="AG33" i="4"/>
  <c r="AF33" i="4"/>
  <c r="AE33" i="4"/>
  <c r="AD33" i="4"/>
  <c r="AC33" i="4"/>
  <c r="AB33" i="4"/>
  <c r="AA33" i="4"/>
  <c r="Z33" i="4"/>
  <c r="Y33" i="4"/>
  <c r="X33" i="4"/>
  <c r="W33" i="4"/>
  <c r="V33" i="4"/>
  <c r="O33" i="4"/>
  <c r="N33" i="4"/>
  <c r="M33" i="4"/>
  <c r="K33" i="4"/>
  <c r="J33" i="4"/>
  <c r="I33" i="4"/>
  <c r="G33" i="4"/>
  <c r="F33" i="4"/>
  <c r="E33" i="4"/>
  <c r="AG31" i="4"/>
  <c r="AF31" i="4"/>
  <c r="AE31" i="4"/>
  <c r="AD31" i="4"/>
  <c r="AC31" i="4"/>
  <c r="AB31" i="4"/>
  <c r="AA31" i="4"/>
  <c r="Z31" i="4"/>
  <c r="Y31" i="4"/>
  <c r="X31" i="4"/>
  <c r="W31" i="4"/>
  <c r="V31" i="4"/>
  <c r="O31" i="4"/>
  <c r="N31" i="4"/>
  <c r="M31" i="4"/>
  <c r="K31" i="4"/>
  <c r="J31" i="4"/>
  <c r="I31" i="4"/>
  <c r="G31" i="4"/>
  <c r="F31" i="4"/>
  <c r="E31" i="4"/>
  <c r="AG28" i="4"/>
  <c r="AF28" i="4"/>
  <c r="AC28" i="4"/>
  <c r="AB28" i="4"/>
  <c r="Y28" i="4"/>
  <c r="X28" i="4"/>
  <c r="O28" i="4"/>
  <c r="N28" i="4"/>
  <c r="K28" i="4"/>
  <c r="J28" i="4"/>
  <c r="G28" i="4"/>
  <c r="F28" i="4"/>
  <c r="AG25" i="4"/>
  <c r="AF25" i="4"/>
  <c r="AE25" i="4"/>
  <c r="AD25" i="4"/>
  <c r="AC25" i="4"/>
  <c r="AB25" i="4"/>
  <c r="AA25" i="4"/>
  <c r="Z25" i="4"/>
  <c r="Y25" i="4"/>
  <c r="X25" i="4"/>
  <c r="W25" i="4"/>
  <c r="V25" i="4"/>
  <c r="O25" i="4"/>
  <c r="N25" i="4"/>
  <c r="M25" i="4"/>
  <c r="K25" i="4"/>
  <c r="J25" i="4"/>
  <c r="I25" i="4"/>
  <c r="G25" i="4"/>
  <c r="F25" i="4"/>
  <c r="E25" i="4"/>
  <c r="AG21" i="4"/>
  <c r="AF21" i="4"/>
  <c r="AE21" i="4"/>
  <c r="AD21" i="4"/>
  <c r="AC21" i="4"/>
  <c r="AB21" i="4"/>
  <c r="AA21" i="4"/>
  <c r="Z21" i="4"/>
  <c r="Y21" i="4"/>
  <c r="X21" i="4"/>
  <c r="W21" i="4"/>
  <c r="V21" i="4"/>
  <c r="P21" i="4"/>
  <c r="O21" i="4"/>
  <c r="N21" i="4"/>
  <c r="M21" i="4"/>
  <c r="L21" i="4"/>
  <c r="K21" i="4"/>
  <c r="J21" i="4"/>
  <c r="I21" i="4"/>
  <c r="H21" i="4"/>
  <c r="G21" i="4"/>
  <c r="F21" i="4"/>
  <c r="E21" i="4"/>
  <c r="AG16" i="4"/>
  <c r="AF16" i="4"/>
  <c r="AE16" i="4"/>
  <c r="AD16" i="4"/>
  <c r="AC16" i="4"/>
  <c r="AB16" i="4"/>
  <c r="AA16" i="4"/>
  <c r="Z16" i="4"/>
  <c r="Y16" i="4"/>
  <c r="X16" i="4"/>
  <c r="W16" i="4"/>
  <c r="V16" i="4"/>
  <c r="P16" i="4"/>
  <c r="O16" i="4"/>
  <c r="N16" i="4"/>
  <c r="M16" i="4"/>
  <c r="L16" i="4"/>
  <c r="K16" i="4"/>
  <c r="J16" i="4"/>
  <c r="I16" i="4"/>
  <c r="H16" i="4"/>
  <c r="G16" i="4"/>
  <c r="F16" i="4"/>
  <c r="E16" i="4"/>
  <c r="AG10" i="4"/>
  <c r="AF10" i="4"/>
  <c r="AE10" i="4"/>
  <c r="AD10" i="4"/>
  <c r="AC10" i="4"/>
  <c r="AB10" i="4"/>
  <c r="AA10" i="4"/>
  <c r="Z10" i="4"/>
  <c r="Y10" i="4"/>
  <c r="X10" i="4"/>
  <c r="W10" i="4"/>
  <c r="V10" i="4"/>
  <c r="P10" i="4"/>
  <c r="O10" i="4"/>
  <c r="N10" i="4"/>
  <c r="M10" i="4"/>
  <c r="L10" i="4"/>
  <c r="K10" i="4"/>
  <c r="J10" i="4"/>
  <c r="I10" i="4"/>
  <c r="H10" i="4"/>
  <c r="G10" i="4"/>
  <c r="F10" i="4"/>
  <c r="E10" i="4"/>
  <c r="AN35" i="2" l="1"/>
  <c r="AO35" i="2"/>
  <c r="AP35" i="2"/>
  <c r="AQ35" i="2"/>
  <c r="AR35" i="2"/>
  <c r="AS35" i="2"/>
  <c r="AT35" i="2"/>
  <c r="AU35" i="2"/>
  <c r="AV35" i="2"/>
  <c r="AW35" i="2"/>
  <c r="AX35" i="2"/>
  <c r="AM35" i="2"/>
  <c r="AN33" i="2"/>
  <c r="AO33" i="2"/>
  <c r="AP33" i="2"/>
  <c r="AQ33" i="2"/>
  <c r="AR33" i="2"/>
  <c r="AS33" i="2"/>
  <c r="AT33" i="2"/>
  <c r="AU33" i="2"/>
  <c r="AV33" i="2"/>
  <c r="AW33" i="2"/>
  <c r="AX33" i="2"/>
  <c r="AM33" i="2"/>
  <c r="AN31" i="2"/>
  <c r="AO31" i="2"/>
  <c r="AP31" i="2"/>
  <c r="AQ31" i="2"/>
  <c r="AR31" i="2"/>
  <c r="AS31" i="2"/>
  <c r="AT31" i="2"/>
  <c r="AU31" i="2"/>
  <c r="AV31" i="2"/>
  <c r="AW31" i="2"/>
  <c r="AX31" i="2"/>
  <c r="AM31" i="2"/>
  <c r="AN28" i="2"/>
  <c r="AO28" i="2"/>
  <c r="AP28" i="2"/>
  <c r="AQ28" i="2"/>
  <c r="AR28" i="2"/>
  <c r="AS28" i="2"/>
  <c r="AT28" i="2"/>
  <c r="AU28" i="2"/>
  <c r="AV28" i="2"/>
  <c r="AW28" i="2"/>
  <c r="AX28" i="2"/>
  <c r="AM28" i="2"/>
  <c r="AN25" i="2"/>
  <c r="AO25" i="2"/>
  <c r="AP25" i="2"/>
  <c r="AQ25" i="2"/>
  <c r="AR25" i="2"/>
  <c r="AS25" i="2"/>
  <c r="AT25" i="2"/>
  <c r="AU25" i="2"/>
  <c r="AV25" i="2"/>
  <c r="AW25" i="2"/>
  <c r="AX25" i="2"/>
  <c r="AM25" i="2"/>
  <c r="AN21" i="2"/>
  <c r="AO21" i="2"/>
  <c r="AP21" i="2"/>
  <c r="AQ21" i="2"/>
  <c r="AR21" i="2"/>
  <c r="AS21" i="2"/>
  <c r="AT21" i="2"/>
  <c r="AU21" i="2"/>
  <c r="AV21" i="2"/>
  <c r="AW21" i="2"/>
  <c r="AX21" i="2"/>
  <c r="AM21" i="2"/>
  <c r="AX16" i="2"/>
  <c r="AN16" i="2"/>
  <c r="AO16" i="2"/>
  <c r="AP16" i="2"/>
  <c r="AQ16" i="2"/>
  <c r="AR16" i="2"/>
  <c r="AS16" i="2"/>
  <c r="AT16" i="2"/>
  <c r="AU16" i="2"/>
  <c r="AV16" i="2"/>
  <c r="AW16" i="2"/>
  <c r="AM16" i="2"/>
  <c r="AN10" i="2"/>
  <c r="AO10" i="2"/>
  <c r="AP10" i="2"/>
  <c r="AQ10" i="2"/>
  <c r="AR10" i="2"/>
  <c r="AS10" i="2"/>
  <c r="AT10" i="2"/>
  <c r="AU10" i="2"/>
  <c r="AV10" i="2"/>
  <c r="AW10" i="2"/>
  <c r="AX10" i="2"/>
  <c r="AM10" i="2"/>
  <c r="W35" i="2"/>
  <c r="X35" i="2"/>
  <c r="Y35" i="2"/>
  <c r="Z35" i="2"/>
  <c r="AA35" i="2"/>
  <c r="AB35" i="2"/>
  <c r="AC35" i="2"/>
  <c r="AD35" i="2"/>
  <c r="AE35" i="2"/>
  <c r="AF35" i="2"/>
  <c r="AG35" i="2"/>
  <c r="V35" i="2"/>
  <c r="W33" i="2"/>
  <c r="X33" i="2"/>
  <c r="Y33" i="2"/>
  <c r="Z33" i="2"/>
  <c r="AA33" i="2"/>
  <c r="AB33" i="2"/>
  <c r="AC33" i="2"/>
  <c r="AD33" i="2"/>
  <c r="AE33" i="2"/>
  <c r="AF33" i="2"/>
  <c r="AG33" i="2"/>
  <c r="V33" i="2"/>
  <c r="W31" i="2"/>
  <c r="X31" i="2"/>
  <c r="Y31" i="2"/>
  <c r="Z31" i="2"/>
  <c r="AA31" i="2"/>
  <c r="AB31" i="2"/>
  <c r="AC31" i="2"/>
  <c r="AD31" i="2"/>
  <c r="AE31" i="2"/>
  <c r="AF31" i="2"/>
  <c r="AG31" i="2"/>
  <c r="V31" i="2"/>
  <c r="W28" i="2"/>
  <c r="X28" i="2"/>
  <c r="Y28" i="2"/>
  <c r="Z28" i="2"/>
  <c r="AA28" i="2"/>
  <c r="AB28" i="2"/>
  <c r="AC28" i="2"/>
  <c r="AD28" i="2"/>
  <c r="AE28" i="2"/>
  <c r="AF28" i="2"/>
  <c r="AG28" i="2"/>
  <c r="V28" i="2"/>
  <c r="W25" i="2"/>
  <c r="X25" i="2"/>
  <c r="Y25" i="2"/>
  <c r="Z25" i="2"/>
  <c r="AA25" i="2"/>
  <c r="AB25" i="2"/>
  <c r="AC25" i="2"/>
  <c r="AD25" i="2"/>
  <c r="AE25" i="2"/>
  <c r="AF25" i="2"/>
  <c r="AG25" i="2"/>
  <c r="V25" i="2"/>
  <c r="W21" i="2"/>
  <c r="X21" i="2"/>
  <c r="Y21" i="2"/>
  <c r="Z21" i="2"/>
  <c r="AA21" i="2"/>
  <c r="AB21" i="2"/>
  <c r="AC21" i="2"/>
  <c r="AD21" i="2"/>
  <c r="AE21" i="2"/>
  <c r="AF21" i="2"/>
  <c r="AG21" i="2"/>
  <c r="V21" i="2"/>
  <c r="W16" i="2"/>
  <c r="X16" i="2"/>
  <c r="Y16" i="2"/>
  <c r="Z16" i="2"/>
  <c r="AA16" i="2"/>
  <c r="AB16" i="2"/>
  <c r="AC16" i="2"/>
  <c r="AD16" i="2"/>
  <c r="AE16" i="2"/>
  <c r="AF16" i="2"/>
  <c r="AG16" i="2"/>
  <c r="V16" i="2"/>
  <c r="P16" i="2"/>
  <c r="L16" i="2"/>
  <c r="H16" i="2"/>
  <c r="H10" i="2"/>
  <c r="P10" i="2"/>
  <c r="L10" i="2"/>
  <c r="Z10" i="2"/>
  <c r="AA10" i="2"/>
  <c r="AB10" i="2"/>
  <c r="AC10" i="2"/>
  <c r="AD10" i="2"/>
  <c r="AE10" i="2"/>
  <c r="AF10" i="2"/>
  <c r="AG10" i="2"/>
  <c r="W10" i="2"/>
  <c r="X10" i="2"/>
  <c r="Y10" i="2"/>
  <c r="V10" i="2"/>
  <c r="N21" i="2"/>
  <c r="O21" i="2"/>
  <c r="P21" i="2"/>
  <c r="L21" i="2"/>
  <c r="H21" i="2"/>
  <c r="F35" i="2"/>
  <c r="G35" i="2"/>
  <c r="I35" i="2"/>
  <c r="J35" i="2"/>
  <c r="K35" i="2"/>
  <c r="M35" i="2"/>
  <c r="N35" i="2"/>
  <c r="O35" i="2"/>
  <c r="E35" i="2"/>
  <c r="F33" i="2"/>
  <c r="G33" i="2"/>
  <c r="I33" i="2"/>
  <c r="J33" i="2"/>
  <c r="K33" i="2"/>
  <c r="M33" i="2"/>
  <c r="N33" i="2"/>
  <c r="O33" i="2"/>
  <c r="E33" i="2"/>
  <c r="I31" i="2"/>
  <c r="J31" i="2"/>
  <c r="K31" i="2"/>
  <c r="M31" i="2"/>
  <c r="N31" i="2"/>
  <c r="O31" i="2"/>
  <c r="F31" i="2"/>
  <c r="G31" i="2"/>
  <c r="E31" i="2"/>
  <c r="I28" i="2"/>
  <c r="J28" i="2"/>
  <c r="K28" i="2"/>
  <c r="M28" i="2"/>
  <c r="N28" i="2"/>
  <c r="O28" i="2"/>
  <c r="F28" i="2"/>
  <c r="G28" i="2"/>
  <c r="E28" i="2"/>
  <c r="I25" i="2"/>
  <c r="J25" i="2"/>
  <c r="K25" i="2"/>
  <c r="M25" i="2"/>
  <c r="N25" i="2"/>
  <c r="O25" i="2"/>
  <c r="F25" i="2"/>
  <c r="G25" i="2"/>
  <c r="E25" i="2"/>
  <c r="I21" i="2"/>
  <c r="J21" i="2"/>
  <c r="K21" i="2"/>
  <c r="M21" i="2"/>
  <c r="F21" i="2"/>
  <c r="G21" i="2"/>
  <c r="E21" i="2"/>
  <c r="M16" i="2"/>
  <c r="F16" i="2" l="1"/>
  <c r="G16" i="2"/>
  <c r="I16" i="2"/>
  <c r="J16" i="2"/>
  <c r="K16" i="2"/>
  <c r="N16" i="2"/>
  <c r="O16" i="2"/>
  <c r="E16" i="2"/>
  <c r="M10" i="2"/>
  <c r="N10" i="2"/>
  <c r="O10" i="2"/>
  <c r="I10" i="2"/>
  <c r="J10" i="2"/>
  <c r="K10" i="2"/>
  <c r="G10" i="2"/>
  <c r="F10" i="2"/>
  <c r="E10" i="2"/>
</calcChain>
</file>

<file path=xl/sharedStrings.xml><?xml version="1.0" encoding="utf-8"?>
<sst xmlns="http://schemas.openxmlformats.org/spreadsheetml/2006/main" count="612" uniqueCount="148">
  <si>
    <t>%</t>
  </si>
  <si>
    <t>Sets</t>
  </si>
  <si>
    <t>Reps</t>
  </si>
  <si>
    <t>Week 1</t>
  </si>
  <si>
    <t>Week 2</t>
  </si>
  <si>
    <t>Week 3</t>
  </si>
  <si>
    <t xml:space="preserve">Reps </t>
  </si>
  <si>
    <t>Lower/Upper 10s</t>
  </si>
  <si>
    <t>Lower/Upper 8s</t>
  </si>
  <si>
    <t>Lower/Upper 5s</t>
  </si>
  <si>
    <t>Lower/Upper 3s</t>
  </si>
  <si>
    <t>Lower/Upper 5/3/1</t>
  </si>
  <si>
    <t>65/75/85%</t>
  </si>
  <si>
    <t>Moderate</t>
  </si>
  <si>
    <t>Heavy</t>
  </si>
  <si>
    <t>Fast</t>
  </si>
  <si>
    <t>70/80/90%</t>
  </si>
  <si>
    <t>5/3/1</t>
  </si>
  <si>
    <t>75/85/95%</t>
  </si>
  <si>
    <t>DE (Bench)</t>
  </si>
  <si>
    <t>DE (Squats/Deadlifts)</t>
  </si>
  <si>
    <t>T3 - Lower/Upper</t>
  </si>
  <si>
    <t>T3 - Total</t>
  </si>
  <si>
    <t>T4 &amp; T5 - Body Weight</t>
  </si>
  <si>
    <t>Total 10s</t>
  </si>
  <si>
    <t>Total 8s</t>
  </si>
  <si>
    <t>Total 5s</t>
  </si>
  <si>
    <t>Total 3s</t>
  </si>
  <si>
    <t>Total 5/3/1</t>
  </si>
  <si>
    <t>Deadlift</t>
  </si>
  <si>
    <t>T4 &amp; T5 - Weight</t>
  </si>
  <si>
    <t>T6 &amp; T7 - Weight</t>
  </si>
  <si>
    <t>T6 &amp; T7 - Body Weight</t>
  </si>
  <si>
    <t>Tier 1</t>
  </si>
  <si>
    <t>Tier 2</t>
  </si>
  <si>
    <t>Tier 3</t>
  </si>
  <si>
    <t>Supplemental</t>
  </si>
  <si>
    <t>Auxilary</t>
  </si>
  <si>
    <t>Exercise</t>
  </si>
  <si>
    <t>T</t>
  </si>
  <si>
    <t>Weight</t>
  </si>
  <si>
    <t>PC</t>
  </si>
  <si>
    <t>PS</t>
  </si>
  <si>
    <t>Core</t>
  </si>
  <si>
    <t>Sumo Deadlift</t>
  </si>
  <si>
    <t>Clean</t>
  </si>
  <si>
    <t>Hang Power Clean</t>
  </si>
  <si>
    <t>Hang Clean</t>
  </si>
  <si>
    <t>Power Clean</t>
  </si>
  <si>
    <t>Snatch</t>
  </si>
  <si>
    <t>Hang Snatch</t>
  </si>
  <si>
    <t>Power Snatch</t>
  </si>
  <si>
    <t>Hang Power Snatch</t>
  </si>
  <si>
    <t>Clean Complex</t>
  </si>
  <si>
    <t>Snatch Complex</t>
  </si>
  <si>
    <t>Back Sqaut</t>
  </si>
  <si>
    <t>Front Squat</t>
  </si>
  <si>
    <t>Overhead Squat</t>
  </si>
  <si>
    <t>Bench Press</t>
  </si>
  <si>
    <t>Goblet Squat</t>
  </si>
  <si>
    <t>Lunge</t>
  </si>
  <si>
    <t>Lateral Lunge</t>
  </si>
  <si>
    <t>RDL</t>
  </si>
  <si>
    <t>Good Morning</t>
  </si>
  <si>
    <t>Glute Ham Raise</t>
  </si>
  <si>
    <t>Hip Extension</t>
  </si>
  <si>
    <t>Reverse Hyper</t>
  </si>
  <si>
    <t>Incline Bench Press</t>
  </si>
  <si>
    <t>DB Bench Press</t>
  </si>
  <si>
    <t>Incline DB Bench Press</t>
  </si>
  <si>
    <t>Strict Press</t>
  </si>
  <si>
    <t>DB Strict Press</t>
  </si>
  <si>
    <t>Push Press</t>
  </si>
  <si>
    <t>Push Jerk</t>
  </si>
  <si>
    <t>Split Jerk</t>
  </si>
  <si>
    <t>-----------------------</t>
  </si>
  <si>
    <t>Pull Up</t>
  </si>
  <si>
    <t>Chin Up</t>
  </si>
  <si>
    <t>Lat Pull Down</t>
  </si>
  <si>
    <t>Bent Over Row</t>
  </si>
  <si>
    <t>DB Incline Row</t>
  </si>
  <si>
    <t>Landmine Row</t>
  </si>
  <si>
    <t>DB Row</t>
  </si>
  <si>
    <t>Chest Supported Row</t>
  </si>
  <si>
    <t>Manual Partner Ham</t>
  </si>
  <si>
    <t>Nordic Curl</t>
  </si>
  <si>
    <t>Hamstring Curl</t>
  </si>
  <si>
    <t>Glute Bridge</t>
  </si>
  <si>
    <t>Hip Thrust</t>
  </si>
  <si>
    <t>Cuban Presses</t>
  </si>
  <si>
    <t>Internal Rotation</t>
  </si>
  <si>
    <t>External Rotation</t>
  </si>
  <si>
    <t>Plank Series</t>
  </si>
  <si>
    <t>Ab Rollouts</t>
  </si>
  <si>
    <t>Stir the Pot</t>
  </si>
  <si>
    <t>See Saw</t>
  </si>
  <si>
    <t>Hanging Sit Up</t>
  </si>
  <si>
    <t>Windshield Wiper</t>
  </si>
  <si>
    <t>Standing Crunch</t>
  </si>
  <si>
    <t>Landmine Rotation</t>
  </si>
  <si>
    <t>Russian Twists</t>
  </si>
  <si>
    <t>Total_Body</t>
  </si>
  <si>
    <t>Lower_Body</t>
  </si>
  <si>
    <t>Upper_Body</t>
  </si>
  <si>
    <t>+5-10lbs</t>
  </si>
  <si>
    <t>L</t>
  </si>
  <si>
    <t>U</t>
  </si>
  <si>
    <t>Bulgarian Split Squat</t>
  </si>
  <si>
    <t>Split Squat</t>
  </si>
  <si>
    <t>Two DBs</t>
  </si>
  <si>
    <t>T6 &amp; T7 - Static Hold</t>
  </si>
  <si>
    <t>30 sec.</t>
  </si>
  <si>
    <t>Dynamic Effort</t>
  </si>
  <si>
    <t>Landmine</t>
  </si>
  <si>
    <t>From Blocks</t>
  </si>
  <si>
    <t>Front Rack</t>
  </si>
  <si>
    <t>Weighted Sit Up</t>
  </si>
  <si>
    <t>T6 &amp; T7 - Flat Loading</t>
  </si>
  <si>
    <t>Roster</t>
  </si>
  <si>
    <t>Lift Schedule</t>
  </si>
  <si>
    <t>Tuesday
4:15-5:00pm</t>
  </si>
  <si>
    <r>
      <rPr>
        <b/>
        <u/>
        <sz val="14"/>
        <color theme="1"/>
        <rFont val="Calibri"/>
        <family val="2"/>
        <scheme val="minor"/>
      </rPr>
      <t>Freshman</t>
    </r>
    <r>
      <rPr>
        <sz val="14"/>
        <color theme="1"/>
        <rFont val="Calibri"/>
        <family val="2"/>
        <scheme val="minor"/>
      </rPr>
      <t xml:space="preserve">
</t>
    </r>
  </si>
  <si>
    <r>
      <rPr>
        <b/>
        <u/>
        <sz val="14"/>
        <color theme="1"/>
        <rFont val="Calibri"/>
        <family val="2"/>
        <scheme val="minor"/>
      </rPr>
      <t>Sophmores</t>
    </r>
    <r>
      <rPr>
        <sz val="14"/>
        <color theme="1"/>
        <rFont val="Calibri"/>
        <family val="2"/>
        <scheme val="minor"/>
      </rPr>
      <t xml:space="preserve">
</t>
    </r>
  </si>
  <si>
    <r>
      <rPr>
        <b/>
        <u/>
        <sz val="14"/>
        <color theme="1"/>
        <rFont val="Calibri"/>
        <family val="2"/>
        <scheme val="minor"/>
      </rPr>
      <t>Juniors</t>
    </r>
    <r>
      <rPr>
        <sz val="14"/>
        <color theme="1"/>
        <rFont val="Calibri"/>
        <family val="2"/>
        <scheme val="minor"/>
      </rPr>
      <t xml:space="preserve">
</t>
    </r>
  </si>
  <si>
    <r>
      <rPr>
        <b/>
        <u/>
        <sz val="14"/>
        <color theme="1"/>
        <rFont val="Calibri"/>
        <family val="2"/>
        <scheme val="minor"/>
      </rPr>
      <t>Seniors</t>
    </r>
    <r>
      <rPr>
        <sz val="14"/>
        <color theme="1"/>
        <rFont val="Calibri"/>
        <family val="2"/>
        <scheme val="minor"/>
      </rPr>
      <t xml:space="preserve">
</t>
    </r>
  </si>
  <si>
    <t>Athletes</t>
  </si>
  <si>
    <t>Maxes</t>
  </si>
  <si>
    <t>DL</t>
  </si>
  <si>
    <t>CL</t>
  </si>
  <si>
    <t>Current Max</t>
  </si>
  <si>
    <t>Training Max</t>
  </si>
  <si>
    <t>BS</t>
  </si>
  <si>
    <t>BP</t>
  </si>
  <si>
    <t>\</t>
  </si>
  <si>
    <t>Miles Hill</t>
  </si>
  <si>
    <t>Jeremy Carlson</t>
  </si>
  <si>
    <t>Marcus</t>
  </si>
  <si>
    <t>Total Body</t>
  </si>
  <si>
    <t>Lower Body</t>
  </si>
  <si>
    <t>Upper Body</t>
  </si>
  <si>
    <t>Inverted Row</t>
  </si>
  <si>
    <t>Face Pulls</t>
  </si>
  <si>
    <t>T4 &amp; T5 - Uni-Lateral Weight</t>
  </si>
  <si>
    <t xml:space="preserve">6e. </t>
  </si>
  <si>
    <t>5e.</t>
  </si>
  <si>
    <t>4e.</t>
  </si>
  <si>
    <t>Notes</t>
  </si>
  <si>
    <t>Judson Perry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</si>
</sst>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6"/>
      <color theme="0" tint="-0.14999847407452621"/>
      <name val="Calibri"/>
      <family val="2"/>
      <scheme val="minor"/>
    </font>
    <font>
      <sz val="26"/>
      <color theme="0" tint="-0.34998626667073579"/>
      <name val="Calibri"/>
      <family val="2"/>
      <scheme val="minor"/>
    </font>
    <font>
      <sz val="26"/>
      <name val="Calibri"/>
      <family val="2"/>
      <scheme val="minor"/>
    </font>
    <font>
      <sz val="72"/>
      <color theme="0"/>
      <name val="Calibri"/>
      <family val="2"/>
      <scheme val="minor"/>
    </font>
    <font>
      <i/>
      <sz val="1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indexed="64"/>
      </top>
      <bottom/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hair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5">
    <xf numFmtId="0" fontId="0" fillId="0" borderId="0" xfId="0"/>
    <xf numFmtId="0" fontId="2" fillId="2" borderId="1" xfId="0" applyFont="1" applyFill="1" applyBorder="1" applyAlignment="1">
      <alignment shrinkToFit="1"/>
    </xf>
    <xf numFmtId="0" fontId="2" fillId="2" borderId="8" xfId="0" applyFont="1" applyFill="1" applyBorder="1" applyAlignment="1">
      <alignment shrinkToFit="1"/>
    </xf>
    <xf numFmtId="0" fontId="2" fillId="2" borderId="9" xfId="0" applyFont="1" applyFill="1" applyBorder="1" applyAlignment="1">
      <alignment shrinkToFit="1"/>
    </xf>
    <xf numFmtId="0" fontId="0" fillId="0" borderId="6" xfId="0" applyNumberFormat="1" applyBorder="1"/>
    <xf numFmtId="0" fontId="0" fillId="0" borderId="2" xfId="0" applyBorder="1"/>
    <xf numFmtId="9" fontId="0" fillId="0" borderId="10" xfId="0" applyNumberFormat="1" applyBorder="1"/>
    <xf numFmtId="164" fontId="0" fillId="0" borderId="10" xfId="0" applyNumberFormat="1" applyBorder="1"/>
    <xf numFmtId="0" fontId="0" fillId="0" borderId="2" xfId="0" quotePrefix="1" applyNumberFormat="1" applyBorder="1"/>
    <xf numFmtId="0" fontId="0" fillId="0" borderId="3" xfId="0" applyBorder="1"/>
    <xf numFmtId="0" fontId="0" fillId="0" borderId="0" xfId="0" applyFill="1" applyBorder="1"/>
    <xf numFmtId="0" fontId="0" fillId="0" borderId="14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3" fillId="4" borderId="0" xfId="0" applyFont="1" applyFill="1" applyBorder="1" applyAlignment="1">
      <alignment shrinkToFit="1"/>
    </xf>
    <xf numFmtId="9" fontId="0" fillId="0" borderId="2" xfId="0" applyNumberFormat="1" applyBorder="1"/>
    <xf numFmtId="164" fontId="0" fillId="0" borderId="2" xfId="0" applyNumberFormat="1" applyBorder="1"/>
    <xf numFmtId="0" fontId="2" fillId="2" borderId="5" xfId="0" applyFont="1" applyFill="1" applyBorder="1" applyAlignment="1">
      <alignment shrinkToFit="1"/>
    </xf>
    <xf numFmtId="0" fontId="2" fillId="2" borderId="0" xfId="0" applyFont="1" applyFill="1"/>
    <xf numFmtId="0" fontId="0" fillId="0" borderId="0" xfId="0" quotePrefix="1"/>
    <xf numFmtId="0" fontId="0" fillId="0" borderId="10" xfId="0" quotePrefix="1" applyNumberFormat="1" applyBorder="1"/>
    <xf numFmtId="0" fontId="0" fillId="2" borderId="0" xfId="0" applyFill="1" applyBorder="1"/>
    <xf numFmtId="0" fontId="2" fillId="5" borderId="14" xfId="0" applyFont="1" applyFill="1" applyBorder="1"/>
    <xf numFmtId="0" fontId="0" fillId="3" borderId="0" xfId="0" applyFill="1" applyBorder="1"/>
    <xf numFmtId="0" fontId="0" fillId="8" borderId="0" xfId="0" applyFill="1" applyBorder="1"/>
    <xf numFmtId="0" fontId="0" fillId="2" borderId="14" xfId="0" applyFill="1" applyBorder="1"/>
    <xf numFmtId="0" fontId="0" fillId="2" borderId="6" xfId="0" applyFill="1" applyBorder="1"/>
    <xf numFmtId="0" fontId="0" fillId="2" borderId="2" xfId="0" applyFill="1" applyBorder="1"/>
    <xf numFmtId="0" fontId="5" fillId="2" borderId="13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 vertical="center"/>
    </xf>
    <xf numFmtId="0" fontId="6" fillId="0" borderId="0" xfId="0" applyFont="1" applyBorder="1"/>
    <xf numFmtId="0" fontId="4" fillId="7" borderId="16" xfId="0" applyFont="1" applyFill="1" applyBorder="1" applyAlignment="1">
      <alignment horizontal="center" vertical="center" wrapText="1"/>
    </xf>
    <xf numFmtId="0" fontId="12" fillId="6" borderId="12" xfId="0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9" fontId="6" fillId="0" borderId="16" xfId="0" applyNumberFormat="1" applyFont="1" applyBorder="1" applyAlignment="1">
      <alignment horizontal="center" vertical="center"/>
    </xf>
    <xf numFmtId="0" fontId="5" fillId="0" borderId="16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9" fontId="6" fillId="0" borderId="16" xfId="1" applyNumberFormat="1" applyFont="1" applyBorder="1" applyAlignment="1">
      <alignment horizontal="center" vertical="center"/>
    </xf>
    <xf numFmtId="0" fontId="5" fillId="0" borderId="16" xfId="1" applyNumberFormat="1" applyFont="1" applyBorder="1" applyAlignment="1">
      <alignment horizontal="center" vertical="center"/>
    </xf>
    <xf numFmtId="0" fontId="5" fillId="0" borderId="17" xfId="1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2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8" fillId="6" borderId="22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9" fillId="7" borderId="22" xfId="0" applyFont="1" applyFill="1" applyBorder="1" applyAlignment="1">
      <alignment horizontal="center" vertical="center"/>
    </xf>
    <xf numFmtId="0" fontId="9" fillId="7" borderId="2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2" borderId="9" xfId="0" applyFont="1" applyFill="1" applyBorder="1" applyAlignment="1">
      <alignment horizontal="center" vertical="center" shrinkToFit="1"/>
    </xf>
    <xf numFmtId="0" fontId="5" fillId="2" borderId="3" xfId="0" applyFont="1" applyFill="1" applyBorder="1" applyAlignment="1">
      <alignment horizontal="center"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5" xfId="0" applyFont="1" applyFill="1" applyBorder="1" applyAlignment="1">
      <alignment horizontal="center" vertical="center" shrinkToFit="1"/>
    </xf>
    <xf numFmtId="9" fontId="6" fillId="0" borderId="16" xfId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14" xfId="0" applyFill="1" applyBorder="1"/>
    <xf numFmtId="0" fontId="0" fillId="0" borderId="6" xfId="0" applyFill="1" applyBorder="1"/>
    <xf numFmtId="0" fontId="0" fillId="0" borderId="2" xfId="0" applyFill="1" applyBorder="1"/>
    <xf numFmtId="0" fontId="7" fillId="0" borderId="0" xfId="0" applyFont="1" applyFill="1" applyBorder="1" applyAlignment="1">
      <alignment vertical="center"/>
    </xf>
    <xf numFmtId="0" fontId="7" fillId="0" borderId="2" xfId="0" applyFont="1" applyFill="1" applyBorder="1" applyAlignment="1">
      <alignment vertical="center"/>
    </xf>
    <xf numFmtId="0" fontId="7" fillId="0" borderId="0" xfId="0" applyFont="1" applyFill="1" applyBorder="1" applyAlignment="1">
      <alignment vertical="top"/>
    </xf>
    <xf numFmtId="0" fontId="7" fillId="0" borderId="2" xfId="0" applyFont="1" applyFill="1" applyBorder="1" applyAlignment="1">
      <alignment vertical="top"/>
    </xf>
    <xf numFmtId="0" fontId="6" fillId="7" borderId="16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/>
    <xf numFmtId="0" fontId="6" fillId="0" borderId="0" xfId="0" applyFont="1" applyFill="1" applyBorder="1" applyAlignment="1">
      <alignment vertical="center"/>
    </xf>
    <xf numFmtId="9" fontId="19" fillId="0" borderId="16" xfId="0" applyNumberFormat="1" applyFont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9" fontId="6" fillId="0" borderId="16" xfId="0" applyNumberFormat="1" applyFont="1" applyBorder="1" applyAlignment="1">
      <alignment horizontal="center" vertical="center" shrinkToFit="1"/>
    </xf>
    <xf numFmtId="9" fontId="6" fillId="0" borderId="16" xfId="1" applyNumberFormat="1" applyFont="1" applyBorder="1" applyAlignment="1">
      <alignment horizontal="center" vertical="center" shrinkToFit="1"/>
    </xf>
    <xf numFmtId="0" fontId="22" fillId="0" borderId="17" xfId="0" applyFont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8" fillId="9" borderId="4" xfId="0" applyFont="1" applyFill="1" applyBorder="1" applyAlignment="1">
      <alignment horizontal="center" vertical="center" shrinkToFit="1"/>
    </xf>
    <xf numFmtId="0" fontId="18" fillId="9" borderId="2" xfId="0" applyFont="1" applyFill="1" applyBorder="1" applyAlignment="1">
      <alignment horizontal="center" vertical="center" shrinkToFit="1"/>
    </xf>
    <xf numFmtId="0" fontId="17" fillId="2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 shrinkToFit="1"/>
    </xf>
    <xf numFmtId="0" fontId="18" fillId="0" borderId="30" xfId="0" applyFont="1" applyBorder="1" applyAlignment="1">
      <alignment horizontal="center" vertical="center" shrinkToFi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12" xfId="0" applyFont="1" applyFill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textRotation="90"/>
    </xf>
    <xf numFmtId="0" fontId="18" fillId="0" borderId="27" xfId="0" applyFont="1" applyBorder="1" applyAlignment="1">
      <alignment horizontal="center" vertical="center" shrinkToFit="1"/>
    </xf>
    <xf numFmtId="0" fontId="18" fillId="0" borderId="2" xfId="0" applyFont="1" applyBorder="1" applyAlignment="1">
      <alignment horizontal="center" vertical="center" shrinkToFit="1"/>
    </xf>
    <xf numFmtId="0" fontId="18" fillId="0" borderId="28" xfId="0" applyFont="1" applyBorder="1" applyAlignment="1">
      <alignment horizontal="center" vertical="center" shrinkToFit="1"/>
    </xf>
    <xf numFmtId="0" fontId="18" fillId="0" borderId="29" xfId="0" applyFont="1" applyBorder="1" applyAlignment="1">
      <alignment horizontal="center" vertical="center" shrinkToFit="1"/>
    </xf>
    <xf numFmtId="0" fontId="4" fillId="7" borderId="13" xfId="0" applyFont="1" applyFill="1" applyBorder="1" applyAlignment="1">
      <alignment horizontal="center" vertical="center" textRotation="90"/>
    </xf>
    <xf numFmtId="0" fontId="4" fillId="7" borderId="11" xfId="0" applyFont="1" applyFill="1" applyBorder="1" applyAlignment="1">
      <alignment horizontal="center" vertical="center" textRotation="90"/>
    </xf>
    <xf numFmtId="0" fontId="4" fillId="7" borderId="12" xfId="0" applyFont="1" applyFill="1" applyBorder="1" applyAlignment="1">
      <alignment horizontal="center" vertical="center" textRotation="90"/>
    </xf>
    <xf numFmtId="0" fontId="4" fillId="0" borderId="13" xfId="0" applyFont="1" applyBorder="1" applyAlignment="1">
      <alignment horizontal="center" vertical="center" textRotation="90"/>
    </xf>
    <xf numFmtId="0" fontId="4" fillId="0" borderId="12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 textRotation="90"/>
    </xf>
    <xf numFmtId="0" fontId="6" fillId="6" borderId="1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9" fontId="18" fillId="0" borderId="24" xfId="0" applyNumberFormat="1" applyFont="1" applyBorder="1" applyAlignment="1">
      <alignment horizontal="center" vertical="center"/>
    </xf>
    <xf numFmtId="9" fontId="18" fillId="0" borderId="4" xfId="0" applyNumberFormat="1" applyFont="1" applyBorder="1" applyAlignment="1">
      <alignment horizontal="center" vertical="center"/>
    </xf>
    <xf numFmtId="9" fontId="18" fillId="0" borderId="5" xfId="0" applyNumberFormat="1" applyFont="1" applyBorder="1" applyAlignment="1">
      <alignment horizontal="center" vertical="center"/>
    </xf>
    <xf numFmtId="9" fontId="18" fillId="0" borderId="26" xfId="0" applyNumberFormat="1" applyFont="1" applyBorder="1" applyAlignment="1">
      <alignment horizontal="center" vertical="center"/>
    </xf>
    <xf numFmtId="9" fontId="18" fillId="0" borderId="0" xfId="0" applyNumberFormat="1" applyFont="1" applyBorder="1" applyAlignment="1">
      <alignment horizontal="center" vertical="center"/>
    </xf>
    <xf numFmtId="9" fontId="18" fillId="0" borderId="7" xfId="0" applyNumberFormat="1" applyFont="1" applyBorder="1" applyAlignment="1">
      <alignment horizontal="center" vertical="center"/>
    </xf>
    <xf numFmtId="9" fontId="18" fillId="0" borderId="25" xfId="0" applyNumberFormat="1" applyFont="1" applyBorder="1" applyAlignment="1">
      <alignment horizontal="center" vertical="center"/>
    </xf>
    <xf numFmtId="9" fontId="18" fillId="0" borderId="2" xfId="0" applyNumberFormat="1" applyFont="1" applyBorder="1" applyAlignment="1">
      <alignment horizontal="center" vertical="center"/>
    </xf>
    <xf numFmtId="9" fontId="18" fillId="0" borderId="10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3" fillId="0" borderId="3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6" xfId="0" applyFont="1" applyFill="1" applyBorder="1" applyAlignment="1">
      <alignment horizontal="left"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7" xfId="0" applyFont="1" applyFill="1" applyBorder="1" applyAlignment="1">
      <alignment horizontal="left" vertical="top" wrapText="1"/>
    </xf>
    <xf numFmtId="0" fontId="14" fillId="0" borderId="10" xfId="0" applyFont="1" applyFill="1" applyBorder="1" applyAlignment="1">
      <alignment horizontal="left" vertical="top" wrapText="1"/>
    </xf>
    <xf numFmtId="0" fontId="6" fillId="7" borderId="13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center" vertical="center" wrapText="1"/>
    </xf>
    <xf numFmtId="0" fontId="13" fillId="0" borderId="10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 wrapText="1"/>
    </xf>
    <xf numFmtId="0" fontId="15" fillId="0" borderId="6" xfId="0" applyFont="1" applyFill="1" applyBorder="1" applyAlignment="1">
      <alignment horizontal="left" vertical="top" wrapText="1"/>
    </xf>
    <xf numFmtId="0" fontId="15" fillId="0" borderId="2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/>
    </xf>
    <xf numFmtId="0" fontId="0" fillId="0" borderId="7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0" fillId="0" borderId="10" xfId="0" applyFill="1" applyBorder="1" applyAlignment="1">
      <alignment horizontal="left" vertical="top"/>
    </xf>
    <xf numFmtId="0" fontId="13" fillId="0" borderId="14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51</xdr:col>
      <xdr:colOff>558799</xdr:colOff>
      <xdr:row>1</xdr:row>
      <xdr:rowOff>16932</xdr:rowOff>
    </xdr:from>
    <xdr:to>
      <xdr:col>59</xdr:col>
      <xdr:colOff>592666</xdr:colOff>
      <xdr:row>10</xdr:row>
      <xdr:rowOff>389463</xdr:rowOff>
    </xdr:to>
    <xdr:pic macro="[0]!PrintBox">
      <xdr:nvPicPr>
        <xdr:cNvPr id="6" name="Picture 5">
          <a:extLst>
            <a:ext uri="{FF2B5EF4-FFF2-40B4-BE49-F238E27FC236}">
              <a16:creationId xmlns:a16="http://schemas.microsoft.com/office/drawing/2014/main" id="{48485442-F5E6-42A3-8751-A85EDA25C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65867" y="795864"/>
          <a:ext cx="5181599" cy="51815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C45"/>
  <sheetViews>
    <sheetView tabSelected="1" topLeftCell="C1" zoomScale="40" zoomScaleNormal="40" zoomScaleSheetLayoutView="40" workbookViewId="0">
      <selection activeCell="BC17" sqref="BC17"/>
    </sheetView>
  </sheetViews>
  <sheetFormatPr baseColWidth="10" defaultColWidth="8.83203125" defaultRowHeight="15" outlineLevelCol="1" x14ac:dyDescent="0.2"/>
  <cols>
    <col min="1" max="1" width="20.1640625" hidden="1" customWidth="1" outlineLevel="1"/>
    <col min="2" max="2" width="12.1640625" hidden="1" customWidth="1" outlineLevel="1"/>
    <col min="3" max="3" width="8.6640625" customWidth="1" collapsed="1"/>
    <col min="4" max="4" width="21.6640625" customWidth="1"/>
    <col min="5" max="16" width="9.6640625" customWidth="1"/>
    <col min="17" max="17" width="1.6640625" customWidth="1"/>
    <col min="18" max="18" width="21.33203125" hidden="1" customWidth="1" outlineLevel="1"/>
    <col min="19" max="19" width="12.1640625" hidden="1" customWidth="1" outlineLevel="1"/>
    <col min="20" max="20" width="8.6640625" customWidth="1" collapsed="1"/>
    <col min="21" max="21" width="21.6640625" customWidth="1"/>
    <col min="22" max="33" width="9.6640625" customWidth="1"/>
    <col min="34" max="34" width="1.6640625" customWidth="1"/>
    <col min="35" max="35" width="21.33203125" hidden="1" customWidth="1" outlineLevel="1"/>
    <col min="36" max="36" width="12.1640625" hidden="1" customWidth="1" outlineLevel="1"/>
    <col min="37" max="37" width="8.6640625" customWidth="1" collapsed="1"/>
    <col min="38" max="38" width="21.6640625" customWidth="1"/>
    <col min="39" max="50" width="9.6640625" customWidth="1"/>
  </cols>
  <sheetData>
    <row r="1" spans="1:55" ht="62" x14ac:dyDescent="0.35">
      <c r="A1" s="9"/>
      <c r="B1" s="14"/>
      <c r="C1" s="116" t="s">
        <v>126</v>
      </c>
      <c r="D1" s="116"/>
      <c r="E1" s="114" t="s">
        <v>127</v>
      </c>
      <c r="F1" s="114" t="s">
        <v>131</v>
      </c>
      <c r="G1" s="114" t="s">
        <v>132</v>
      </c>
      <c r="H1" s="114" t="s">
        <v>128</v>
      </c>
      <c r="I1" s="116" t="s">
        <v>0</v>
      </c>
      <c r="J1" s="116"/>
      <c r="K1" s="116"/>
      <c r="L1" s="116"/>
      <c r="M1" s="116"/>
      <c r="N1" s="116"/>
      <c r="O1" s="116"/>
      <c r="P1" s="116"/>
      <c r="Q1" s="101"/>
      <c r="R1" s="101"/>
      <c r="S1" s="14"/>
      <c r="T1" s="150" t="s">
        <v>135</v>
      </c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2"/>
      <c r="AH1" s="14"/>
      <c r="AI1" s="14"/>
      <c r="AJ1" s="14"/>
      <c r="AK1" s="162" t="s">
        <v>118</v>
      </c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4"/>
    </row>
    <row r="2" spans="1:55" ht="40" customHeight="1" thickBot="1" x14ac:dyDescent="0.25">
      <c r="A2" s="11"/>
      <c r="B2" s="12"/>
      <c r="C2" s="111"/>
      <c r="D2" s="111"/>
      <c r="E2" s="115"/>
      <c r="F2" s="115"/>
      <c r="G2" s="115"/>
      <c r="H2" s="115"/>
      <c r="I2" s="111"/>
      <c r="J2" s="111"/>
      <c r="K2" s="111"/>
      <c r="L2" s="111"/>
      <c r="M2" s="111"/>
      <c r="N2" s="111"/>
      <c r="O2" s="111"/>
      <c r="P2" s="111"/>
      <c r="Q2" s="102"/>
      <c r="R2" s="102"/>
      <c r="S2" s="12"/>
      <c r="T2" s="153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5"/>
      <c r="AH2" s="12"/>
      <c r="AI2" s="12"/>
      <c r="AJ2" s="12"/>
      <c r="AK2" s="165" t="s">
        <v>121</v>
      </c>
      <c r="AL2" s="166"/>
      <c r="AM2" s="12"/>
      <c r="AN2" s="166" t="s">
        <v>122</v>
      </c>
      <c r="AO2" s="166"/>
      <c r="AP2" s="166"/>
      <c r="AQ2" s="98"/>
      <c r="AR2" s="166" t="s">
        <v>123</v>
      </c>
      <c r="AS2" s="166"/>
      <c r="AT2" s="166"/>
      <c r="AU2" s="96"/>
      <c r="AV2" s="166" t="s">
        <v>124</v>
      </c>
      <c r="AW2" s="166"/>
      <c r="AX2" s="169"/>
    </row>
    <row r="3" spans="1:55" ht="40" customHeight="1" x14ac:dyDescent="0.2">
      <c r="A3" s="11"/>
      <c r="B3" s="12"/>
      <c r="C3" s="110" t="s">
        <v>129</v>
      </c>
      <c r="D3" s="111"/>
      <c r="E3" s="117">
        <f>VLOOKUP($T$1,Athlete_Max,2,FALSE)</f>
        <v>405</v>
      </c>
      <c r="F3" s="117">
        <f>VLOOKUP($T$1,Athlete_Max,3,FALSE)</f>
        <v>365</v>
      </c>
      <c r="G3" s="117">
        <f>VLOOKUP($T$1,Athlete_Max,4,FALSE)</f>
        <v>300</v>
      </c>
      <c r="H3" s="117">
        <f>VLOOKUP($T$1,Athlete_Max,5,FALSE)</f>
        <v>300</v>
      </c>
      <c r="I3" s="141">
        <v>0.9</v>
      </c>
      <c r="J3" s="142"/>
      <c r="K3" s="142"/>
      <c r="L3" s="142"/>
      <c r="M3" s="142"/>
      <c r="N3" s="142"/>
      <c r="O3" s="142"/>
      <c r="P3" s="143"/>
      <c r="Q3" s="102"/>
      <c r="R3" s="102"/>
      <c r="S3" s="12"/>
      <c r="T3" s="153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5"/>
      <c r="AH3" s="12"/>
      <c r="AI3" s="12"/>
      <c r="AJ3" s="12"/>
      <c r="AK3" s="165"/>
      <c r="AL3" s="166"/>
      <c r="AM3" s="12"/>
      <c r="AN3" s="166"/>
      <c r="AO3" s="166"/>
      <c r="AP3" s="166"/>
      <c r="AQ3" s="98"/>
      <c r="AR3" s="166"/>
      <c r="AS3" s="166"/>
      <c r="AT3" s="166"/>
      <c r="AU3" s="96"/>
      <c r="AV3" s="166"/>
      <c r="AW3" s="166"/>
      <c r="AX3" s="169"/>
    </row>
    <row r="4" spans="1:55" ht="40" customHeight="1" x14ac:dyDescent="0.2">
      <c r="A4" s="11"/>
      <c r="B4" s="12"/>
      <c r="C4" s="110"/>
      <c r="D4" s="111"/>
      <c r="E4" s="118"/>
      <c r="F4" s="118"/>
      <c r="G4" s="118"/>
      <c r="H4" s="118"/>
      <c r="I4" s="144"/>
      <c r="J4" s="145"/>
      <c r="K4" s="145"/>
      <c r="L4" s="145"/>
      <c r="M4" s="145"/>
      <c r="N4" s="145"/>
      <c r="O4" s="145"/>
      <c r="P4" s="146"/>
      <c r="Q4" s="102"/>
      <c r="R4" s="102"/>
      <c r="S4" s="12"/>
      <c r="T4" s="153"/>
      <c r="U4" s="15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  <c r="AG4" s="155"/>
      <c r="AH4" s="12"/>
      <c r="AI4" s="12"/>
      <c r="AJ4" s="12"/>
      <c r="AK4" s="165"/>
      <c r="AL4" s="166"/>
      <c r="AM4" s="12"/>
      <c r="AN4" s="166"/>
      <c r="AO4" s="166"/>
      <c r="AP4" s="166"/>
      <c r="AQ4" s="98"/>
      <c r="AR4" s="166"/>
      <c r="AS4" s="166"/>
      <c r="AT4" s="166"/>
      <c r="AU4" s="96"/>
      <c r="AV4" s="166"/>
      <c r="AW4" s="166"/>
      <c r="AX4" s="169"/>
    </row>
    <row r="5" spans="1:55" ht="40" customHeight="1" x14ac:dyDescent="0.2">
      <c r="A5" s="11"/>
      <c r="B5" s="12"/>
      <c r="C5" s="110" t="s">
        <v>130</v>
      </c>
      <c r="D5" s="111"/>
      <c r="E5" s="122">
        <f>CEILING(E3*$I$3,5)</f>
        <v>365</v>
      </c>
      <c r="F5" s="122">
        <f>CEILING(F3*$I$3,5)</f>
        <v>330</v>
      </c>
      <c r="G5" s="122">
        <f>CEILING(G3*$I$3,5)</f>
        <v>270</v>
      </c>
      <c r="H5" s="124">
        <f>CEILING(H3*$I$3,5)</f>
        <v>270</v>
      </c>
      <c r="I5" s="144"/>
      <c r="J5" s="145"/>
      <c r="K5" s="145"/>
      <c r="L5" s="145"/>
      <c r="M5" s="145"/>
      <c r="N5" s="145"/>
      <c r="O5" s="145"/>
      <c r="P5" s="146"/>
      <c r="Q5" s="12"/>
      <c r="R5" s="12"/>
      <c r="S5" s="12"/>
      <c r="T5" s="153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4"/>
      <c r="AF5" s="154"/>
      <c r="AG5" s="155"/>
      <c r="AH5" s="12"/>
      <c r="AI5" s="12"/>
      <c r="AJ5" s="12"/>
      <c r="AK5" s="165"/>
      <c r="AL5" s="166"/>
      <c r="AM5" s="12"/>
      <c r="AN5" s="166"/>
      <c r="AO5" s="166"/>
      <c r="AP5" s="166"/>
      <c r="AQ5" s="98"/>
      <c r="AR5" s="166"/>
      <c r="AS5" s="166"/>
      <c r="AT5" s="166"/>
      <c r="AU5" s="96"/>
      <c r="AV5" s="166"/>
      <c r="AW5" s="166"/>
      <c r="AX5" s="169"/>
      <c r="BC5" t="s">
        <v>133</v>
      </c>
    </row>
    <row r="6" spans="1:55" ht="40" customHeight="1" thickBot="1" x14ac:dyDescent="0.25">
      <c r="A6" s="11"/>
      <c r="B6" s="12"/>
      <c r="C6" s="112"/>
      <c r="D6" s="113"/>
      <c r="E6" s="123"/>
      <c r="F6" s="123"/>
      <c r="G6" s="123"/>
      <c r="H6" s="125"/>
      <c r="I6" s="147"/>
      <c r="J6" s="148"/>
      <c r="K6" s="148"/>
      <c r="L6" s="148"/>
      <c r="M6" s="148"/>
      <c r="N6" s="148"/>
      <c r="O6" s="148"/>
      <c r="P6" s="149"/>
      <c r="Q6" s="12"/>
      <c r="R6" s="12"/>
      <c r="S6" s="12"/>
      <c r="T6" s="156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8"/>
      <c r="AH6" s="12"/>
      <c r="AI6" s="12"/>
      <c r="AJ6" s="12"/>
      <c r="AK6" s="167"/>
      <c r="AL6" s="168"/>
      <c r="AM6" s="5"/>
      <c r="AN6" s="168"/>
      <c r="AO6" s="168"/>
      <c r="AP6" s="168"/>
      <c r="AQ6" s="99"/>
      <c r="AR6" s="168"/>
      <c r="AS6" s="168"/>
      <c r="AT6" s="168"/>
      <c r="AU6" s="97"/>
      <c r="AV6" s="168"/>
      <c r="AW6" s="168"/>
      <c r="AX6" s="170"/>
    </row>
    <row r="7" spans="1:55" ht="35" customHeight="1" thickBot="1" x14ac:dyDescent="0.25">
      <c r="A7" s="11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3"/>
    </row>
    <row r="8" spans="1:55" ht="48" customHeight="1" thickBot="1" x14ac:dyDescent="0.45">
      <c r="A8" s="11"/>
      <c r="B8" s="12"/>
      <c r="C8" s="139" t="s">
        <v>39</v>
      </c>
      <c r="D8" s="29"/>
      <c r="E8" s="159" t="s">
        <v>3</v>
      </c>
      <c r="F8" s="160"/>
      <c r="G8" s="160"/>
      <c r="H8" s="161"/>
      <c r="I8" s="159" t="s">
        <v>4</v>
      </c>
      <c r="J8" s="160"/>
      <c r="K8" s="160"/>
      <c r="L8" s="161"/>
      <c r="M8" s="159" t="s">
        <v>5</v>
      </c>
      <c r="N8" s="160"/>
      <c r="O8" s="160"/>
      <c r="P8" s="161"/>
      <c r="Q8" s="31"/>
      <c r="R8" s="31"/>
      <c r="S8" s="31"/>
      <c r="T8" s="139" t="s">
        <v>105</v>
      </c>
      <c r="U8" s="29"/>
      <c r="V8" s="159" t="s">
        <v>3</v>
      </c>
      <c r="W8" s="160"/>
      <c r="X8" s="160"/>
      <c r="Y8" s="161"/>
      <c r="Z8" s="159" t="s">
        <v>4</v>
      </c>
      <c r="AA8" s="160"/>
      <c r="AB8" s="160"/>
      <c r="AC8" s="161"/>
      <c r="AD8" s="159" t="s">
        <v>5</v>
      </c>
      <c r="AE8" s="160"/>
      <c r="AF8" s="160"/>
      <c r="AG8" s="161"/>
      <c r="AH8" s="31"/>
      <c r="AI8" s="31"/>
      <c r="AJ8" s="31"/>
      <c r="AK8" s="139" t="s">
        <v>106</v>
      </c>
      <c r="AL8" s="29"/>
      <c r="AM8" s="159" t="s">
        <v>3</v>
      </c>
      <c r="AN8" s="160"/>
      <c r="AO8" s="160"/>
      <c r="AP8" s="161"/>
      <c r="AQ8" s="159" t="s">
        <v>4</v>
      </c>
      <c r="AR8" s="160"/>
      <c r="AS8" s="160"/>
      <c r="AT8" s="161"/>
      <c r="AU8" s="159" t="s">
        <v>5</v>
      </c>
      <c r="AV8" s="160"/>
      <c r="AW8" s="160"/>
      <c r="AX8" s="161"/>
    </row>
    <row r="9" spans="1:55" ht="48" customHeight="1" thickBot="1" x14ac:dyDescent="0.45">
      <c r="A9" s="11"/>
      <c r="B9" s="12"/>
      <c r="C9" s="140"/>
      <c r="D9" s="84" t="s">
        <v>38</v>
      </c>
      <c r="E9" s="85" t="s">
        <v>1</v>
      </c>
      <c r="F9" s="86" t="s">
        <v>2</v>
      </c>
      <c r="G9" s="86" t="s">
        <v>0</v>
      </c>
      <c r="H9" s="87" t="s">
        <v>40</v>
      </c>
      <c r="I9" s="85" t="s">
        <v>1</v>
      </c>
      <c r="J9" s="86" t="s">
        <v>2</v>
      </c>
      <c r="K9" s="87" t="s">
        <v>0</v>
      </c>
      <c r="L9" s="87" t="s">
        <v>40</v>
      </c>
      <c r="M9" s="88" t="s">
        <v>1</v>
      </c>
      <c r="N9" s="89" t="s">
        <v>2</v>
      </c>
      <c r="O9" s="90" t="s">
        <v>0</v>
      </c>
      <c r="P9" s="90" t="s">
        <v>40</v>
      </c>
      <c r="Q9" s="31"/>
      <c r="R9" s="31"/>
      <c r="S9" s="31"/>
      <c r="T9" s="140"/>
      <c r="U9" s="84" t="s">
        <v>38</v>
      </c>
      <c r="V9" s="85" t="s">
        <v>1</v>
      </c>
      <c r="W9" s="86" t="s">
        <v>2</v>
      </c>
      <c r="X9" s="86" t="s">
        <v>0</v>
      </c>
      <c r="Y9" s="87" t="s">
        <v>40</v>
      </c>
      <c r="Z9" s="85" t="s">
        <v>1</v>
      </c>
      <c r="AA9" s="86" t="s">
        <v>2</v>
      </c>
      <c r="AB9" s="87" t="s">
        <v>0</v>
      </c>
      <c r="AC9" s="87" t="s">
        <v>40</v>
      </c>
      <c r="AD9" s="88" t="s">
        <v>1</v>
      </c>
      <c r="AE9" s="89" t="s">
        <v>2</v>
      </c>
      <c r="AF9" s="90" t="s">
        <v>0</v>
      </c>
      <c r="AG9" s="90" t="s">
        <v>40</v>
      </c>
      <c r="AH9" s="31"/>
      <c r="AI9" s="31"/>
      <c r="AJ9" s="31"/>
      <c r="AK9" s="140"/>
      <c r="AL9" s="84" t="s">
        <v>38</v>
      </c>
      <c r="AM9" s="85" t="s">
        <v>1</v>
      </c>
      <c r="AN9" s="86" t="s">
        <v>2</v>
      </c>
      <c r="AO9" s="86" t="s">
        <v>0</v>
      </c>
      <c r="AP9" s="87" t="s">
        <v>40</v>
      </c>
      <c r="AQ9" s="85" t="s">
        <v>1</v>
      </c>
      <c r="AR9" s="86" t="s">
        <v>2</v>
      </c>
      <c r="AS9" s="87" t="s">
        <v>0</v>
      </c>
      <c r="AT9" s="87" t="s">
        <v>40</v>
      </c>
      <c r="AU9" s="88" t="s">
        <v>1</v>
      </c>
      <c r="AV9" s="89" t="s">
        <v>2</v>
      </c>
      <c r="AW9" s="90" t="s">
        <v>0</v>
      </c>
      <c r="AX9" s="90" t="s">
        <v>40</v>
      </c>
    </row>
    <row r="10" spans="1:55" ht="48" customHeight="1" x14ac:dyDescent="0.2">
      <c r="A10" s="23" t="s">
        <v>27</v>
      </c>
      <c r="B10" s="24" t="s">
        <v>101</v>
      </c>
      <c r="C10" s="129" t="s">
        <v>33</v>
      </c>
      <c r="D10" s="131" t="s">
        <v>45</v>
      </c>
      <c r="E10" s="35">
        <f>INDEX(Tier_12,MATCH($A$10,T_12,0)+1+ROWS(E$10:E10),COLUMNS($E10:E10))</f>
        <v>5</v>
      </c>
      <c r="F10" s="36">
        <f>INDEX(Tier_12,MATCH($A$10,T_12,0)+1+ROWS(F$10:F10),COLUMNS($E10:F10))</f>
        <v>3</v>
      </c>
      <c r="G10" s="103">
        <f>INDEX(Tier_12,MATCH($A$10,T_12,0)+1+ROWS(G$10:G10),COLUMNS($E10:G10))</f>
        <v>0.75</v>
      </c>
      <c r="H10" s="38">
        <f>INDEX(Tier_12,MATCH($A$10,T_12,0)+1+ROWS(H$10:H10),COLUMNS($E10:H10))</f>
        <v>0</v>
      </c>
      <c r="I10" s="35">
        <f>INDEX(Tier_12,MATCH($A$10,T_12,0)+1+ROWS(I$10:I10),COLUMNS($E10:I10))</f>
        <v>6</v>
      </c>
      <c r="J10" s="36">
        <f>INDEX(Tier_12,MATCH($A$10,T_12,0)+1+ROWS(J$10:J10),COLUMNS($E10:J10))</f>
        <v>2</v>
      </c>
      <c r="K10" s="103">
        <f>INDEX(Tier_12,MATCH($A$10,T_12,0)+1+ROWS(K$10:K10),COLUMNS($E10:K10))</f>
        <v>0.82499999999999996</v>
      </c>
      <c r="L10" s="38">
        <f>INDEX(Tier_12,MATCH($A$10,T_12,0)+1+ROWS(L$10:L10),COLUMNS($E10:L10))</f>
        <v>0</v>
      </c>
      <c r="M10" s="35">
        <f>INDEX(Tier_12,MATCH($A$10,T_12,0)+1+ROWS(M$10:M10),COLUMNS($E10:M10))</f>
        <v>6</v>
      </c>
      <c r="N10" s="36">
        <f>INDEX(Tier_12,MATCH($A$10,T_12,0)+1+ROWS(N$10:N10),COLUMNS($E10:N10))</f>
        <v>1</v>
      </c>
      <c r="O10" s="37">
        <f>INDEX(Tier_12,MATCH($A$10,T_12,0)+1+ROWS(O$10:O10),COLUMNS($E10:O10))</f>
        <v>0.9</v>
      </c>
      <c r="P10" s="39">
        <f>INDEX(Tier_12,MATCH($A$10,T_12,0)+1+ROWS(P$10:P10),COLUMNS($E10:P10))</f>
        <v>0</v>
      </c>
      <c r="Q10" s="40"/>
      <c r="R10" s="41" t="s">
        <v>7</v>
      </c>
      <c r="S10" s="42" t="s">
        <v>102</v>
      </c>
      <c r="T10" s="129" t="s">
        <v>33</v>
      </c>
      <c r="U10" s="131" t="s">
        <v>55</v>
      </c>
      <c r="V10" s="35">
        <f>INDEX(Tier_12,MATCH($R$10,T_12,0)+1+ROWS(V$10:V10),COLUMNS($V10:V10))</f>
        <v>3</v>
      </c>
      <c r="W10" s="36">
        <f>INDEX(Tier_12,MATCH($R$10,T_12,0)+1+ROWS(W$10:W10),COLUMNS($V10:W10))</f>
        <v>10</v>
      </c>
      <c r="X10" s="37">
        <f>INDEX(Tier_12,MATCH($R$10,T_12,0)+1+ROWS(X$10:X10),COLUMNS($V10:X10))</f>
        <v>0.6</v>
      </c>
      <c r="Y10" s="43">
        <f>INDEX(Tier_12,MATCH($R$10,T_12,0)+1+ROWS(Y$10:Y10),COLUMNS($V10:Y10))</f>
        <v>0</v>
      </c>
      <c r="Z10" s="35">
        <f>INDEX(Tier_12,MATCH($R$10,T_12,0)+1+ROWS(Z$10:Z10),COLUMNS($V10:Z10))</f>
        <v>3</v>
      </c>
      <c r="AA10" s="36">
        <f>INDEX(Tier_12,MATCH($R$10,T_12,0)+1+ROWS(AA$10:AA10),COLUMNS($V10:AA10))</f>
        <v>10</v>
      </c>
      <c r="AB10" s="37">
        <f>INDEX(Tier_12,MATCH($R$10,T_12,0)+1+ROWS(AB$10:AB10),COLUMNS($V10:AB10))</f>
        <v>0.67500000000000004</v>
      </c>
      <c r="AC10" s="43">
        <f>INDEX(Tier_12,MATCH($R$10,T_12,0)+1+ROWS(AC$10:AC10),COLUMNS($V10:AC10))</f>
        <v>0</v>
      </c>
      <c r="AD10" s="35">
        <f>INDEX(Tier_12,MATCH($R$10,T_12,0)+1+ROWS(AD$10:AD10),COLUMNS($V10:AD10))</f>
        <v>3</v>
      </c>
      <c r="AE10" s="36">
        <f>INDEX(Tier_12,MATCH($R$10,T_12,0)+1+ROWS(AE$10:AE10),COLUMNS($V10:AE10))</f>
        <v>10</v>
      </c>
      <c r="AF10" s="37">
        <f>INDEX(Tier_12,MATCH($R$10,T_12,0)+1+ROWS(AF$10:AF10),COLUMNS($V10:AF10))</f>
        <v>0.75</v>
      </c>
      <c r="AG10" s="43">
        <f>INDEX(Tier_12,MATCH($R$10,T_12,0)+1+ROWS(AG$10:AG10),COLUMNS($V10:AG10))</f>
        <v>0</v>
      </c>
      <c r="AH10" s="40"/>
      <c r="AI10" s="41" t="s">
        <v>7</v>
      </c>
      <c r="AJ10" s="42" t="s">
        <v>103</v>
      </c>
      <c r="AK10" s="129" t="s">
        <v>33</v>
      </c>
      <c r="AL10" s="131" t="s">
        <v>58</v>
      </c>
      <c r="AM10" s="35">
        <f>INDEX(Tier_12,MATCH($AI$10,T_12,0)+1+ROWS(AM$10:AM10),COLUMNS($AM10:AM10))</f>
        <v>3</v>
      </c>
      <c r="AN10" s="36">
        <f>INDEX(Tier_12,MATCH($AI$10,T_12,0)+1+ROWS(AN$10:AN10),COLUMNS($AM10:AN10))</f>
        <v>10</v>
      </c>
      <c r="AO10" s="37">
        <f>INDEX(Tier_12,MATCH($AI$10,T_12,0)+1+ROWS(AO$10:AO10),COLUMNS($AM10:AO10))</f>
        <v>0.6</v>
      </c>
      <c r="AP10" s="43">
        <f>INDEX(Tier_12,MATCH($AI$10,T_12,0)+1+ROWS(AP$10:AP10),COLUMNS($AM10:AP10))</f>
        <v>0</v>
      </c>
      <c r="AQ10" s="35">
        <f>INDEX(Tier_12,MATCH($AI$10,T_12,0)+1+ROWS(AQ$10:AQ10),COLUMNS($AM10:AQ10))</f>
        <v>3</v>
      </c>
      <c r="AR10" s="36">
        <f>INDEX(Tier_12,MATCH($AI$10,T_12,0)+1+ROWS(AR$10:AR10),COLUMNS($AM10:AR10))</f>
        <v>10</v>
      </c>
      <c r="AS10" s="37">
        <f>INDEX(Tier_12,MATCH($AI$10,T_12,0)+1+ROWS(AS$10:AS10),COLUMNS($AM10:AS10))</f>
        <v>0.67500000000000004</v>
      </c>
      <c r="AT10" s="43">
        <f>INDEX(Tier_12,MATCH($AI$10,T_12,0)+1+ROWS(AT$10:AT10),COLUMNS($AM10:AT10))</f>
        <v>0</v>
      </c>
      <c r="AU10" s="35">
        <f>INDEX(Tier_12,MATCH($AI$10,T_12,0)+1+ROWS(AU$10:AU10),COLUMNS($AM10:AU10))</f>
        <v>3</v>
      </c>
      <c r="AV10" s="36">
        <f>INDEX(Tier_12,MATCH($AI$10,T_12,0)+1+ROWS(AV$10:AV10),COLUMNS($AM10:AV10))</f>
        <v>10</v>
      </c>
      <c r="AW10" s="37">
        <f>INDEX(Tier_12,MATCH($AI$10,T_12,0)+1+ROWS(AW$10:AW10),COLUMNS($AM10:AW10))</f>
        <v>0.75</v>
      </c>
      <c r="AX10" s="43">
        <f>INDEX(Tier_12,MATCH($AI$10,T_12,0)+1+ROWS(AX$10:AX10),COLUMNS($AM10:AX10))</f>
        <v>0</v>
      </c>
    </row>
    <row r="11" spans="1:55" ht="48" customHeight="1" x14ac:dyDescent="0.2">
      <c r="A11" s="11"/>
      <c r="B11" s="25"/>
      <c r="C11" s="121"/>
      <c r="D11" s="132"/>
      <c r="E11" s="44"/>
      <c r="F11" s="45"/>
      <c r="G11" s="45"/>
      <c r="H11" s="46"/>
      <c r="I11" s="44"/>
      <c r="J11" s="45"/>
      <c r="K11" s="45"/>
      <c r="L11" s="46"/>
      <c r="M11" s="44"/>
      <c r="N11" s="45"/>
      <c r="O11" s="45"/>
      <c r="P11" s="46"/>
      <c r="Q11" s="40"/>
      <c r="R11" s="40"/>
      <c r="S11" s="47"/>
      <c r="T11" s="121"/>
      <c r="U11" s="132"/>
      <c r="V11" s="44"/>
      <c r="W11" s="45"/>
      <c r="X11" s="45"/>
      <c r="Y11" s="46"/>
      <c r="Z11" s="44"/>
      <c r="AA11" s="45"/>
      <c r="AB11" s="45"/>
      <c r="AC11" s="46"/>
      <c r="AD11" s="44"/>
      <c r="AE11" s="45"/>
      <c r="AF11" s="45"/>
      <c r="AG11" s="46"/>
      <c r="AH11" s="40"/>
      <c r="AI11" s="40"/>
      <c r="AJ11" s="47"/>
      <c r="AK11" s="121"/>
      <c r="AL11" s="132"/>
      <c r="AM11" s="44"/>
      <c r="AN11" s="45"/>
      <c r="AO11" s="45"/>
      <c r="AP11" s="46"/>
      <c r="AQ11" s="44"/>
      <c r="AR11" s="45"/>
      <c r="AS11" s="45"/>
      <c r="AT11" s="46"/>
      <c r="AU11" s="44"/>
      <c r="AV11" s="45"/>
      <c r="AW11" s="45"/>
      <c r="AX11" s="46"/>
    </row>
    <row r="12" spans="1:55" ht="48" customHeight="1" x14ac:dyDescent="0.2">
      <c r="A12" s="11"/>
      <c r="B12" s="12"/>
      <c r="C12" s="121"/>
      <c r="D12" s="132"/>
      <c r="E12" s="44"/>
      <c r="F12" s="45"/>
      <c r="G12" s="45"/>
      <c r="H12" s="46"/>
      <c r="I12" s="44"/>
      <c r="J12" s="45"/>
      <c r="K12" s="45"/>
      <c r="L12" s="46"/>
      <c r="M12" s="44"/>
      <c r="N12" s="45"/>
      <c r="O12" s="45"/>
      <c r="P12" s="46"/>
      <c r="Q12" s="40"/>
      <c r="R12" s="40"/>
      <c r="S12" s="40"/>
      <c r="T12" s="121"/>
      <c r="U12" s="132"/>
      <c r="V12" s="44"/>
      <c r="W12" s="45"/>
      <c r="X12" s="45"/>
      <c r="Y12" s="46"/>
      <c r="Z12" s="44"/>
      <c r="AA12" s="45"/>
      <c r="AB12" s="45"/>
      <c r="AC12" s="46"/>
      <c r="AD12" s="44"/>
      <c r="AE12" s="45"/>
      <c r="AF12" s="45"/>
      <c r="AG12" s="46"/>
      <c r="AH12" s="40"/>
      <c r="AI12" s="40"/>
      <c r="AJ12" s="40"/>
      <c r="AK12" s="121"/>
      <c r="AL12" s="132"/>
      <c r="AM12" s="44"/>
      <c r="AN12" s="45"/>
      <c r="AO12" s="45"/>
      <c r="AP12" s="46"/>
      <c r="AQ12" s="44"/>
      <c r="AR12" s="45"/>
      <c r="AS12" s="45"/>
      <c r="AT12" s="46"/>
      <c r="AU12" s="44"/>
      <c r="AV12" s="45"/>
      <c r="AW12" s="45"/>
      <c r="AX12" s="46"/>
    </row>
    <row r="13" spans="1:55" ht="48" customHeight="1" x14ac:dyDescent="0.2">
      <c r="A13" s="11"/>
      <c r="B13" s="12"/>
      <c r="C13" s="121"/>
      <c r="D13" s="132"/>
      <c r="E13" s="44"/>
      <c r="F13" s="45"/>
      <c r="G13" s="45"/>
      <c r="H13" s="46"/>
      <c r="I13" s="44"/>
      <c r="J13" s="45"/>
      <c r="K13" s="45"/>
      <c r="L13" s="46"/>
      <c r="M13" s="44"/>
      <c r="N13" s="45"/>
      <c r="O13" s="45"/>
      <c r="P13" s="46"/>
      <c r="Q13" s="40"/>
      <c r="R13" s="40"/>
      <c r="S13" s="40"/>
      <c r="T13" s="121"/>
      <c r="U13" s="132"/>
      <c r="V13" s="44"/>
      <c r="W13" s="45"/>
      <c r="X13" s="45"/>
      <c r="Y13" s="46"/>
      <c r="Z13" s="44"/>
      <c r="AA13" s="45"/>
      <c r="AB13" s="45"/>
      <c r="AC13" s="46"/>
      <c r="AD13" s="44"/>
      <c r="AE13" s="45"/>
      <c r="AF13" s="45"/>
      <c r="AG13" s="46"/>
      <c r="AH13" s="40"/>
      <c r="AI13" s="40"/>
      <c r="AJ13" s="40"/>
      <c r="AK13" s="121"/>
      <c r="AL13" s="132"/>
      <c r="AM13" s="44"/>
      <c r="AN13" s="45"/>
      <c r="AO13" s="45"/>
      <c r="AP13" s="46"/>
      <c r="AQ13" s="44"/>
      <c r="AR13" s="45"/>
      <c r="AS13" s="45"/>
      <c r="AT13" s="46"/>
      <c r="AU13" s="44"/>
      <c r="AV13" s="45"/>
      <c r="AW13" s="45"/>
      <c r="AX13" s="46"/>
    </row>
    <row r="14" spans="1:55" ht="48" customHeight="1" x14ac:dyDescent="0.2">
      <c r="A14" s="11"/>
      <c r="B14" s="12"/>
      <c r="C14" s="121"/>
      <c r="D14" s="48"/>
      <c r="E14" s="44"/>
      <c r="F14" s="45"/>
      <c r="G14" s="45"/>
      <c r="H14" s="46"/>
      <c r="I14" s="44"/>
      <c r="J14" s="45"/>
      <c r="K14" s="45"/>
      <c r="L14" s="46"/>
      <c r="M14" s="44"/>
      <c r="N14" s="45"/>
      <c r="O14" s="45"/>
      <c r="P14" s="46"/>
      <c r="Q14" s="40"/>
      <c r="R14" s="40"/>
      <c r="S14" s="40"/>
      <c r="T14" s="121"/>
      <c r="U14" s="48"/>
      <c r="V14" s="44"/>
      <c r="W14" s="45"/>
      <c r="X14" s="45"/>
      <c r="Y14" s="46"/>
      <c r="Z14" s="44"/>
      <c r="AA14" s="45"/>
      <c r="AB14" s="45"/>
      <c r="AC14" s="46"/>
      <c r="AD14" s="44"/>
      <c r="AE14" s="45"/>
      <c r="AF14" s="45"/>
      <c r="AG14" s="46"/>
      <c r="AH14" s="40"/>
      <c r="AI14" s="40"/>
      <c r="AJ14" s="40"/>
      <c r="AK14" s="121"/>
      <c r="AL14" s="48"/>
      <c r="AM14" s="44"/>
      <c r="AN14" s="45"/>
      <c r="AO14" s="45"/>
      <c r="AP14" s="46"/>
      <c r="AQ14" s="44"/>
      <c r="AR14" s="45"/>
      <c r="AS14" s="45"/>
      <c r="AT14" s="46"/>
      <c r="AU14" s="44"/>
      <c r="AV14" s="45"/>
      <c r="AW14" s="45"/>
      <c r="AX14" s="46"/>
    </row>
    <row r="15" spans="1:55" ht="48" customHeight="1" thickBot="1" x14ac:dyDescent="0.25">
      <c r="A15" s="11"/>
      <c r="B15" s="12"/>
      <c r="C15" s="130"/>
      <c r="D15" s="49"/>
      <c r="E15" s="50"/>
      <c r="F15" s="51"/>
      <c r="G15" s="51"/>
      <c r="H15" s="52"/>
      <c r="I15" s="50"/>
      <c r="J15" s="51"/>
      <c r="K15" s="51"/>
      <c r="L15" s="52"/>
      <c r="M15" s="50"/>
      <c r="N15" s="51"/>
      <c r="O15" s="51"/>
      <c r="P15" s="52"/>
      <c r="Q15" s="40"/>
      <c r="R15" s="40"/>
      <c r="S15" s="40"/>
      <c r="T15" s="130"/>
      <c r="U15" s="49"/>
      <c r="V15" s="50"/>
      <c r="W15" s="51"/>
      <c r="X15" s="51"/>
      <c r="Y15" s="52"/>
      <c r="Z15" s="50"/>
      <c r="AA15" s="51"/>
      <c r="AB15" s="51"/>
      <c r="AC15" s="52"/>
      <c r="AD15" s="50"/>
      <c r="AE15" s="51"/>
      <c r="AF15" s="51"/>
      <c r="AG15" s="52"/>
      <c r="AH15" s="40"/>
      <c r="AI15" s="40"/>
      <c r="AJ15" s="40"/>
      <c r="AK15" s="130"/>
      <c r="AL15" s="49"/>
      <c r="AM15" s="50"/>
      <c r="AN15" s="51"/>
      <c r="AO15" s="51"/>
      <c r="AP15" s="52"/>
      <c r="AQ15" s="50"/>
      <c r="AR15" s="51"/>
      <c r="AS15" s="51"/>
      <c r="AT15" s="52"/>
      <c r="AU15" s="50"/>
      <c r="AV15" s="51"/>
      <c r="AW15" s="51"/>
      <c r="AX15" s="52"/>
    </row>
    <row r="16" spans="1:55" ht="48" customHeight="1" x14ac:dyDescent="0.2">
      <c r="A16" s="23" t="s">
        <v>20</v>
      </c>
      <c r="B16" s="24" t="s">
        <v>102</v>
      </c>
      <c r="C16" s="121" t="s">
        <v>34</v>
      </c>
      <c r="D16" s="131" t="s">
        <v>55</v>
      </c>
      <c r="E16" s="35">
        <f>INDEX(Tier_12,MATCH($A$16,T_12,0)+1+ROWS(E$16:E16),COLUMNS($E16:E16))</f>
        <v>8</v>
      </c>
      <c r="F16" s="36">
        <f>INDEX(Tier_12,MATCH($A$16,T_12,0)+1+ROWS(F$16:F16),COLUMNS($E16:F16))</f>
        <v>3</v>
      </c>
      <c r="G16" s="53">
        <f>INDEX(Tier_12,MATCH($A$16,T_12,0)+1+ROWS(G$16:G16),COLUMNS($E16:G16))</f>
        <v>0.5</v>
      </c>
      <c r="H16" s="54">
        <f>INDEX(Tier_12,MATCH($A$16,T_12,0)+1+ROWS(H$16:H16),COLUMNS($E16:H16))</f>
        <v>0</v>
      </c>
      <c r="I16" s="35">
        <f>INDEX(Tier_12,MATCH($A$16,T_12,0)+1+ROWS(I$16:I16),COLUMNS($E16:I16))</f>
        <v>10</v>
      </c>
      <c r="J16" s="36">
        <f>INDEX(Tier_12,MATCH($A$16,T_12,0)+1+ROWS(J$16:J16),COLUMNS($E16:J16))</f>
        <v>2</v>
      </c>
      <c r="K16" s="53">
        <f>INDEX(Tier_12,MATCH($A$16,T_12,0)+1+ROWS(K$16:K16),COLUMNS($E16:K16))</f>
        <v>0.55000000000000004</v>
      </c>
      <c r="L16" s="54">
        <f>INDEX(Tier_12,MATCH($A$16,T_12,0)+1+ROWS(L$16:L16),COLUMNS($E16:L16))</f>
        <v>0</v>
      </c>
      <c r="M16" s="35">
        <f>INDEX(Tier_12,MATCH($A$16,T_12,0)+1+ROWS(M$16:M16),COLUMNS($E16:M16))</f>
        <v>10</v>
      </c>
      <c r="N16" s="36">
        <f>INDEX(Tier_12,MATCH($A$16,T_12,0)+1+ROWS(N$16:N16),COLUMNS($E16:N16))</f>
        <v>2</v>
      </c>
      <c r="O16" s="53">
        <f>INDEX(Tier_12,MATCH($A$16,T_12,0)+1+ROWS(O$16:O16),COLUMNS($E16:O16))</f>
        <v>0.6</v>
      </c>
      <c r="P16" s="55">
        <f>INDEX(Tier_12,MATCH($A$16,T_12,0)+1+ROWS(P$16:P16),COLUMNS($E16:P16))</f>
        <v>0</v>
      </c>
      <c r="Q16" s="40"/>
      <c r="R16" s="41" t="s">
        <v>20</v>
      </c>
      <c r="S16" s="42" t="s">
        <v>103</v>
      </c>
      <c r="T16" s="121" t="s">
        <v>34</v>
      </c>
      <c r="U16" s="131" t="s">
        <v>58</v>
      </c>
      <c r="V16" s="35">
        <f>INDEX(Tier_12,MATCH($R$16,T_12,0)+1+ROWS(V$16:V16),COLUMNS($V16:V16))</f>
        <v>8</v>
      </c>
      <c r="W16" s="36">
        <f>INDEX(Tier_12,MATCH($R$16,T_12,0)+1+ROWS(W$16:W16),COLUMNS($V16:W16))</f>
        <v>3</v>
      </c>
      <c r="X16" s="37">
        <f>INDEX(Tier_12,MATCH($R$16,T_12,0)+1+ROWS(X$16:X16),COLUMNS($V16:X16))</f>
        <v>0.5</v>
      </c>
      <c r="Y16" s="43">
        <f>INDEX(Tier_12,MATCH($R$16,T_12,0)+1+ROWS(Y$16:Y16),COLUMNS($V16:Y16))</f>
        <v>0</v>
      </c>
      <c r="Z16" s="35">
        <f>INDEX(Tier_12,MATCH($R$16,T_12,0)+1+ROWS(Z$16:Z16),COLUMNS($V16:Z16))</f>
        <v>10</v>
      </c>
      <c r="AA16" s="36">
        <f>INDEX(Tier_12,MATCH($R$16,T_12,0)+1+ROWS(AA$16:AA16),COLUMNS($V16:AA16))</f>
        <v>2</v>
      </c>
      <c r="AB16" s="37">
        <f>INDEX(Tier_12,MATCH($R$16,T_12,0)+1+ROWS(AB$16:AB16),COLUMNS($V16:AB16))</f>
        <v>0.55000000000000004</v>
      </c>
      <c r="AC16" s="43">
        <f>INDEX(Tier_12,MATCH($R$16,T_12,0)+1+ROWS(AC$16:AC16),COLUMNS($V16:AC16))</f>
        <v>0</v>
      </c>
      <c r="AD16" s="35">
        <f>INDEX(Tier_12,MATCH($R$16,T_12,0)+1+ROWS(AD$16:AD16),COLUMNS($V16:AD16))</f>
        <v>10</v>
      </c>
      <c r="AE16" s="36">
        <f>INDEX(Tier_12,MATCH($R$16,T_12,0)+1+ROWS(AE$16:AE16),COLUMNS($V16:AE16))</f>
        <v>2</v>
      </c>
      <c r="AF16" s="37">
        <f>INDEX(Tier_12,MATCH($R$16,T_12,0)+1+ROWS(AF$16:AF16),COLUMNS($V16:AF16))</f>
        <v>0.6</v>
      </c>
      <c r="AG16" s="43">
        <f>INDEX(Tier_12,MATCH($R$16,T_12,0)+1+ROWS(AG$16:AG16),COLUMNS($V16:AG16))</f>
        <v>0</v>
      </c>
      <c r="AH16" s="40"/>
      <c r="AI16" s="41" t="s">
        <v>20</v>
      </c>
      <c r="AJ16" s="42" t="s">
        <v>101</v>
      </c>
      <c r="AK16" s="121" t="s">
        <v>34</v>
      </c>
      <c r="AL16" s="131" t="s">
        <v>44</v>
      </c>
      <c r="AM16" s="35">
        <f>INDEX(Tier_12,MATCH($AI$16,T_12,0)+1+ROWS(AM$16:AM16),COLUMNS($AM16:AM16))</f>
        <v>8</v>
      </c>
      <c r="AN16" s="36">
        <f>INDEX(Tier_12,MATCH($AI$16,T_12,0)+1+ROWS(AN$16:AN16),COLUMNS($AM16:AN16))</f>
        <v>3</v>
      </c>
      <c r="AO16" s="91">
        <f>INDEX(Tier_12,MATCH($AI$16,T_12,0)+1+ROWS(AO$16:AO16),COLUMNS($AM16:AO16))</f>
        <v>0.5</v>
      </c>
      <c r="AP16" s="43">
        <f>INDEX(Tier_12,MATCH($AI$16,T_12,0)+1+ROWS(AP$16:AP16),COLUMNS($AM16:AP16))</f>
        <v>0</v>
      </c>
      <c r="AQ16" s="35">
        <f>INDEX(Tier_12,MATCH($AI$16,T_12,0)+1+ROWS(AQ$16:AQ16),COLUMNS($AM16:AQ16))</f>
        <v>10</v>
      </c>
      <c r="AR16" s="36">
        <f>INDEX(Tier_12,MATCH($AI$16,T_12,0)+1+ROWS(AR$16:AR16),COLUMNS($AM16:AR16))</f>
        <v>2</v>
      </c>
      <c r="AS16" s="91">
        <f>INDEX(Tier_12,MATCH($AI$16,T_12,0)+1+ROWS(AS$16:AS16),COLUMNS($AM16:AS16))</f>
        <v>0.55000000000000004</v>
      </c>
      <c r="AT16" s="43">
        <f>INDEX(Tier_12,MATCH($AI$16,T_12,0)+1+ROWS(AT$16:AT16),COLUMNS($AM16:AT16))</f>
        <v>0</v>
      </c>
      <c r="AU16" s="35">
        <f>INDEX(Tier_12,MATCH($AI$16,T_12,0)+1+ROWS(AU$16:AU16),COLUMNS($AM16:AU16))</f>
        <v>10</v>
      </c>
      <c r="AV16" s="36">
        <f>INDEX(Tier_12,MATCH($AI$16,T_12,0)+1+ROWS(AV$16:AV16),COLUMNS($AM16:AV16))</f>
        <v>2</v>
      </c>
      <c r="AW16" s="91">
        <f>INDEX(Tier_12,MATCH($AI$16,T_12,0)+1+ROWS(AW$16:AW16),COLUMNS($AM16:AW16))</f>
        <v>0.6</v>
      </c>
      <c r="AX16" s="43">
        <f>INDEX(Tier_12,MATCH($AI$16,T_12,0)+1+ROWS(AX$16:AX16),COLUMNS($AM16:AX16))</f>
        <v>0</v>
      </c>
    </row>
    <row r="17" spans="1:50" ht="48" customHeight="1" x14ac:dyDescent="0.2">
      <c r="A17" s="11"/>
      <c r="B17" s="25"/>
      <c r="C17" s="121"/>
      <c r="D17" s="132"/>
      <c r="E17" s="44"/>
      <c r="F17" s="45"/>
      <c r="G17" s="45"/>
      <c r="H17" s="46"/>
      <c r="I17" s="44"/>
      <c r="J17" s="45"/>
      <c r="K17" s="45"/>
      <c r="L17" s="46"/>
      <c r="M17" s="44"/>
      <c r="N17" s="45"/>
      <c r="O17" s="45"/>
      <c r="P17" s="46"/>
      <c r="Q17" s="40"/>
      <c r="R17" s="40"/>
      <c r="S17" s="47"/>
      <c r="T17" s="121"/>
      <c r="U17" s="132"/>
      <c r="V17" s="44"/>
      <c r="W17" s="45"/>
      <c r="X17" s="45"/>
      <c r="Y17" s="46"/>
      <c r="Z17" s="44"/>
      <c r="AA17" s="45"/>
      <c r="AB17" s="45"/>
      <c r="AC17" s="46"/>
      <c r="AD17" s="44"/>
      <c r="AE17" s="45"/>
      <c r="AF17" s="45"/>
      <c r="AG17" s="46"/>
      <c r="AH17" s="40"/>
      <c r="AI17" s="40"/>
      <c r="AJ17" s="47"/>
      <c r="AK17" s="121"/>
      <c r="AL17" s="132"/>
      <c r="AM17" s="44"/>
      <c r="AN17" s="45"/>
      <c r="AO17" s="45"/>
      <c r="AP17" s="46"/>
      <c r="AQ17" s="44"/>
      <c r="AR17" s="45"/>
      <c r="AS17" s="45"/>
      <c r="AT17" s="46"/>
      <c r="AU17" s="44"/>
      <c r="AV17" s="45"/>
      <c r="AW17" s="45"/>
      <c r="AX17" s="46"/>
    </row>
    <row r="18" spans="1:50" ht="48" customHeight="1" x14ac:dyDescent="0.2">
      <c r="A18" s="11"/>
      <c r="B18" s="12"/>
      <c r="C18" s="121"/>
      <c r="D18" s="132"/>
      <c r="E18" s="44"/>
      <c r="F18" s="45"/>
      <c r="G18" s="45"/>
      <c r="H18" s="46"/>
      <c r="I18" s="44"/>
      <c r="J18" s="45"/>
      <c r="K18" s="45"/>
      <c r="L18" s="46"/>
      <c r="M18" s="44"/>
      <c r="N18" s="45"/>
      <c r="O18" s="45"/>
      <c r="P18" s="46"/>
      <c r="Q18" s="40"/>
      <c r="R18" s="40"/>
      <c r="S18" s="40"/>
      <c r="T18" s="121"/>
      <c r="U18" s="132"/>
      <c r="V18" s="44"/>
      <c r="W18" s="45"/>
      <c r="X18" s="45"/>
      <c r="Y18" s="46"/>
      <c r="Z18" s="44"/>
      <c r="AA18" s="45"/>
      <c r="AB18" s="45"/>
      <c r="AC18" s="46"/>
      <c r="AD18" s="44"/>
      <c r="AE18" s="45"/>
      <c r="AF18" s="45"/>
      <c r="AG18" s="46"/>
      <c r="AH18" s="40"/>
      <c r="AI18" s="40"/>
      <c r="AJ18" s="40"/>
      <c r="AK18" s="121"/>
      <c r="AL18" s="132"/>
      <c r="AM18" s="44"/>
      <c r="AN18" s="45"/>
      <c r="AO18" s="45"/>
      <c r="AP18" s="46"/>
      <c r="AQ18" s="44"/>
      <c r="AR18" s="45"/>
      <c r="AS18" s="45"/>
      <c r="AT18" s="46"/>
      <c r="AU18" s="44"/>
      <c r="AV18" s="45"/>
      <c r="AW18" s="45"/>
      <c r="AX18" s="46"/>
    </row>
    <row r="19" spans="1:50" ht="48" customHeight="1" x14ac:dyDescent="0.2">
      <c r="A19" s="11"/>
      <c r="B19" s="12"/>
      <c r="C19" s="121"/>
      <c r="D19" s="132"/>
      <c r="E19" s="44"/>
      <c r="F19" s="45"/>
      <c r="G19" s="45"/>
      <c r="H19" s="46"/>
      <c r="I19" s="44"/>
      <c r="J19" s="45"/>
      <c r="K19" s="45"/>
      <c r="L19" s="46"/>
      <c r="M19" s="44"/>
      <c r="N19" s="45"/>
      <c r="O19" s="45"/>
      <c r="P19" s="46"/>
      <c r="Q19" s="40"/>
      <c r="R19" s="40"/>
      <c r="S19" s="40"/>
      <c r="T19" s="121"/>
      <c r="U19" s="132"/>
      <c r="V19" s="44"/>
      <c r="W19" s="45"/>
      <c r="X19" s="45"/>
      <c r="Y19" s="46"/>
      <c r="Z19" s="44"/>
      <c r="AA19" s="45"/>
      <c r="AB19" s="45"/>
      <c r="AC19" s="46"/>
      <c r="AD19" s="44"/>
      <c r="AE19" s="45"/>
      <c r="AF19" s="45"/>
      <c r="AG19" s="46"/>
      <c r="AH19" s="40"/>
      <c r="AI19" s="40"/>
      <c r="AJ19" s="40"/>
      <c r="AK19" s="121"/>
      <c r="AL19" s="132"/>
      <c r="AM19" s="44"/>
      <c r="AN19" s="45"/>
      <c r="AO19" s="45"/>
      <c r="AP19" s="46"/>
      <c r="AQ19" s="44"/>
      <c r="AR19" s="45"/>
      <c r="AS19" s="45"/>
      <c r="AT19" s="46"/>
      <c r="AU19" s="44"/>
      <c r="AV19" s="45"/>
      <c r="AW19" s="45"/>
      <c r="AX19" s="46"/>
    </row>
    <row r="20" spans="1:50" ht="48" customHeight="1" thickBot="1" x14ac:dyDescent="0.25">
      <c r="A20" s="11"/>
      <c r="B20" s="12"/>
      <c r="C20" s="121"/>
      <c r="D20" s="34" t="s">
        <v>112</v>
      </c>
      <c r="E20" s="50"/>
      <c r="F20" s="51"/>
      <c r="G20" s="51"/>
      <c r="H20" s="52"/>
      <c r="I20" s="50"/>
      <c r="J20" s="51"/>
      <c r="K20" s="51"/>
      <c r="L20" s="52"/>
      <c r="M20" s="50"/>
      <c r="N20" s="51"/>
      <c r="O20" s="51"/>
      <c r="P20" s="52"/>
      <c r="Q20" s="40"/>
      <c r="R20" s="40"/>
      <c r="S20" s="40"/>
      <c r="T20" s="121"/>
      <c r="U20" s="34" t="s">
        <v>112</v>
      </c>
      <c r="V20" s="50"/>
      <c r="W20" s="51"/>
      <c r="X20" s="51"/>
      <c r="Y20" s="52"/>
      <c r="Z20" s="50"/>
      <c r="AA20" s="51"/>
      <c r="AB20" s="51"/>
      <c r="AC20" s="52"/>
      <c r="AD20" s="50"/>
      <c r="AE20" s="51"/>
      <c r="AF20" s="51"/>
      <c r="AG20" s="52"/>
      <c r="AH20" s="40"/>
      <c r="AI20" s="40"/>
      <c r="AJ20" s="40"/>
      <c r="AK20" s="121"/>
      <c r="AL20" s="34" t="s">
        <v>114</v>
      </c>
      <c r="AM20" s="50"/>
      <c r="AN20" s="51"/>
      <c r="AO20" s="51"/>
      <c r="AP20" s="52"/>
      <c r="AQ20" s="50"/>
      <c r="AR20" s="51"/>
      <c r="AS20" s="51"/>
      <c r="AT20" s="52"/>
      <c r="AU20" s="50"/>
      <c r="AV20" s="51"/>
      <c r="AW20" s="51"/>
      <c r="AX20" s="52"/>
    </row>
    <row r="21" spans="1:50" ht="48" customHeight="1" x14ac:dyDescent="0.2">
      <c r="A21" s="23" t="s">
        <v>21</v>
      </c>
      <c r="B21" s="24" t="s">
        <v>103</v>
      </c>
      <c r="C21" s="129" t="s">
        <v>35</v>
      </c>
      <c r="D21" s="131" t="s">
        <v>70</v>
      </c>
      <c r="E21" s="35">
        <f>INDEX(Tier_3,MATCH($A$21,T_3,0)+1+ROWS(E$21:E21),COLUMNS($E21:E21))</f>
        <v>4</v>
      </c>
      <c r="F21" s="36">
        <f>INDEX(Tier_3,MATCH($A$21,T_3,0)+1+ROWS(F$21:F21),COLUMNS($E21:F21))</f>
        <v>8</v>
      </c>
      <c r="G21" s="56">
        <f>INDEX(Tier_3,MATCH($A$21,T_3,0)+1+ROWS(G$21:G21),COLUMNS($E21:G21))</f>
        <v>0</v>
      </c>
      <c r="H21" s="57" t="str">
        <f>INDEX(Tier_3,MATCH($A$21,T_3,0)+1+ROWS(H$21:H21),COLUMNS($E21:H21))</f>
        <v>+5-10lbs</v>
      </c>
      <c r="I21" s="35">
        <f>INDEX(Tier_3,MATCH($A$21,T_3,0)+1+ROWS(I$21:I21),COLUMNS($E21:I21))</f>
        <v>4</v>
      </c>
      <c r="J21" s="36">
        <f>INDEX(Tier_3,MATCH($A$21,T_3,0)+1+ROWS(J$21:J21),COLUMNS($E21:J21))</f>
        <v>6</v>
      </c>
      <c r="K21" s="58">
        <f>INDEX(Tier_3,MATCH($A$21,T_3,0)+1+ROWS(K$21:K21),COLUMNS($E21:K21))</f>
        <v>0</v>
      </c>
      <c r="L21" s="57" t="str">
        <f>INDEX(Tier_3,MATCH($A$21,T_3,0)+1+ROWS(L$21:L21),COLUMNS($E21:L21))</f>
        <v>+5-10lbs</v>
      </c>
      <c r="M21" s="35">
        <f>INDEX(Tier_3,MATCH($A$21,T_3,0)+1+ROWS(M$21:M21),COLUMNS($E21:M21))</f>
        <v>4</v>
      </c>
      <c r="N21" s="36">
        <f>INDEX(Tier_3,MATCH($A$21,T_3,0)+1+ROWS(N$21:N21),COLUMNS($E21:N21))</f>
        <v>4</v>
      </c>
      <c r="O21" s="36">
        <f>INDEX(Tier_3,MATCH($A$21,T_3,0)+1+ROWS(O$21:O21),COLUMNS($E21:O21))</f>
        <v>0</v>
      </c>
      <c r="P21" s="59" t="str">
        <f>INDEX(Tier_3,MATCH($A$21,T_3,0)+1+ROWS(P$21:P21),COLUMNS($E21:P21))</f>
        <v>+5-10lbs</v>
      </c>
      <c r="Q21" s="40"/>
      <c r="R21" s="41" t="s">
        <v>21</v>
      </c>
      <c r="S21" s="42" t="s">
        <v>101</v>
      </c>
      <c r="T21" s="129" t="s">
        <v>35</v>
      </c>
      <c r="U21" s="131" t="s">
        <v>53</v>
      </c>
      <c r="V21" s="35">
        <f>INDEX(Tier_3,MATCH($R$21,T_3,0)+1+ROWS(V$21:V21),COLUMNS($V21:V21))</f>
        <v>4</v>
      </c>
      <c r="W21" s="36">
        <f>INDEX(Tier_3,MATCH($R$21,T_3,0)+1+ROWS(W$21:W21),COLUMNS($V21:W21))</f>
        <v>8</v>
      </c>
      <c r="X21" s="56">
        <f>INDEX(Tier_3,MATCH($R$21,T_3,0)+1+ROWS(X$21:X21),COLUMNS($V21:X21))</f>
        <v>0</v>
      </c>
      <c r="Y21" s="59" t="str">
        <f>INDEX(Tier_3,MATCH($R$21,T_3,0)+1+ROWS(Y$21:Y21),COLUMNS($V21:Y21))</f>
        <v>+5-10lbs</v>
      </c>
      <c r="Z21" s="35">
        <f>INDEX(Tier_3,MATCH($R$21,T_3,0)+1+ROWS(Z$21:Z21),COLUMNS($V21:Z21))</f>
        <v>4</v>
      </c>
      <c r="AA21" s="36">
        <f>INDEX(Tier_3,MATCH($R$21,T_3,0)+1+ROWS(AA$21:AA21),COLUMNS($V21:AA21))</f>
        <v>6</v>
      </c>
      <c r="AB21" s="56">
        <f>INDEX(Tier_3,MATCH($R$21,T_3,0)+1+ROWS(AB$21:AB21),COLUMNS($V21:AB21))</f>
        <v>0</v>
      </c>
      <c r="AC21" s="59" t="str">
        <f>INDEX(Tier_3,MATCH($R$21,T_3,0)+1+ROWS(AC$21:AC21),COLUMNS($V21:AC21))</f>
        <v>+5-10lbs</v>
      </c>
      <c r="AD21" s="35">
        <f>INDEX(Tier_3,MATCH($R$21,T_3,0)+1+ROWS(AD$21:AD21),COLUMNS($V21:AD21))</f>
        <v>4</v>
      </c>
      <c r="AE21" s="36">
        <f>INDEX(Tier_3,MATCH($R$21,T_3,0)+1+ROWS(AE$21:AE21),COLUMNS($V21:AE21))</f>
        <v>4</v>
      </c>
      <c r="AF21" s="56">
        <f>INDEX(Tier_3,MATCH($R$21,T_3,0)+1+ROWS(AF$21:AF21),COLUMNS($V21:AF21))</f>
        <v>0</v>
      </c>
      <c r="AG21" s="59" t="str">
        <f>INDEX(Tier_3,MATCH($R$21,T_3,0)+1+ROWS(AG$21:AG21),COLUMNS($V21:AG21))</f>
        <v>+5-10lbs</v>
      </c>
      <c r="AH21" s="40"/>
      <c r="AI21" s="41" t="s">
        <v>21</v>
      </c>
      <c r="AJ21" s="42" t="s">
        <v>102</v>
      </c>
      <c r="AK21" s="129" t="s">
        <v>35</v>
      </c>
      <c r="AL21" s="131" t="s">
        <v>108</v>
      </c>
      <c r="AM21" s="35">
        <f>INDEX(Tier_3,MATCH($AI$21,T_3,0)+1+ROWS(AM$21:AM21),COLUMNS($AM21:AM21))</f>
        <v>4</v>
      </c>
      <c r="AN21" s="36">
        <f>INDEX(Tier_3,MATCH($AI$21,T_3,0)+1+ROWS(AN$21:AN21),COLUMNS($AM21:AN21))</f>
        <v>8</v>
      </c>
      <c r="AO21" s="36">
        <f>INDEX(Tier_3,MATCH($AI$21,T_3,0)+1+ROWS(AO$21:AO21),COLUMNS($AM21:AO21))</f>
        <v>0</v>
      </c>
      <c r="AP21" s="59" t="str">
        <f>INDEX(Tier_3,MATCH($AI$21,T_3,0)+1+ROWS(AP$21:AP21),COLUMNS($AM21:AP21))</f>
        <v>+5-10lbs</v>
      </c>
      <c r="AQ21" s="35">
        <f>INDEX(Tier_3,MATCH($AI$21,T_3,0)+1+ROWS(AQ$21:AQ21),COLUMNS($AM21:AQ21))</f>
        <v>4</v>
      </c>
      <c r="AR21" s="36">
        <f>INDEX(Tier_3,MATCH($AI$21,T_3,0)+1+ROWS(AR$21:AR21),COLUMNS($AM21:AR21))</f>
        <v>6</v>
      </c>
      <c r="AS21" s="36">
        <f>INDEX(Tier_3,MATCH($AI$21,T_3,0)+1+ROWS(AS$21:AS21),COLUMNS($AM21:AS21))</f>
        <v>0</v>
      </c>
      <c r="AT21" s="59" t="str">
        <f>INDEX(Tier_3,MATCH($AI$21,T_3,0)+1+ROWS(AT$21:AT21),COLUMNS($AM21:AT21))</f>
        <v>+5-10lbs</v>
      </c>
      <c r="AU21" s="35">
        <f>INDEX(Tier_3,MATCH($AI$21,T_3,0)+1+ROWS(AU$21:AU21),COLUMNS($AM21:AU21))</f>
        <v>4</v>
      </c>
      <c r="AV21" s="36">
        <f>INDEX(Tier_3,MATCH($AI$21,T_3,0)+1+ROWS(AV$21:AV21),COLUMNS($AM21:AV21))</f>
        <v>4</v>
      </c>
      <c r="AW21" s="36">
        <f>INDEX(Tier_3,MATCH($AI$21,T_3,0)+1+ROWS(AW$21:AW21),COLUMNS($AM21:AW21))</f>
        <v>0</v>
      </c>
      <c r="AX21" s="59" t="str">
        <f>INDEX(Tier_3,MATCH($AI$21,T_3,0)+1+ROWS(AX$21:AX21),COLUMNS($AM21:AX21))</f>
        <v>+5-10lbs</v>
      </c>
    </row>
    <row r="22" spans="1:50" ht="48" customHeight="1" x14ac:dyDescent="0.2">
      <c r="A22" s="11"/>
      <c r="B22" s="25"/>
      <c r="C22" s="121"/>
      <c r="D22" s="132"/>
      <c r="E22" s="44"/>
      <c r="F22" s="45"/>
      <c r="G22" s="45"/>
      <c r="H22" s="46"/>
      <c r="I22" s="44"/>
      <c r="J22" s="45"/>
      <c r="K22" s="45"/>
      <c r="L22" s="46"/>
      <c r="M22" s="44"/>
      <c r="N22" s="45"/>
      <c r="O22" s="45"/>
      <c r="P22" s="46"/>
      <c r="Q22" s="40"/>
      <c r="R22" s="40"/>
      <c r="S22" s="47"/>
      <c r="T22" s="121"/>
      <c r="U22" s="132"/>
      <c r="V22" s="44"/>
      <c r="W22" s="45"/>
      <c r="X22" s="45"/>
      <c r="Y22" s="46"/>
      <c r="Z22" s="44"/>
      <c r="AA22" s="45"/>
      <c r="AB22" s="45"/>
      <c r="AC22" s="46"/>
      <c r="AD22" s="44"/>
      <c r="AE22" s="45"/>
      <c r="AF22" s="45"/>
      <c r="AG22" s="46"/>
      <c r="AH22" s="40"/>
      <c r="AI22" s="40"/>
      <c r="AJ22" s="47"/>
      <c r="AK22" s="121"/>
      <c r="AL22" s="132"/>
      <c r="AM22" s="44"/>
      <c r="AN22" s="45"/>
      <c r="AO22" s="45"/>
      <c r="AP22" s="46"/>
      <c r="AQ22" s="44"/>
      <c r="AR22" s="45"/>
      <c r="AS22" s="45"/>
      <c r="AT22" s="46"/>
      <c r="AU22" s="44"/>
      <c r="AV22" s="45"/>
      <c r="AW22" s="45"/>
      <c r="AX22" s="46"/>
    </row>
    <row r="23" spans="1:50" ht="48" customHeight="1" x14ac:dyDescent="0.2">
      <c r="A23" s="11"/>
      <c r="B23" s="12"/>
      <c r="C23" s="121"/>
      <c r="D23" s="132"/>
      <c r="E23" s="44"/>
      <c r="F23" s="45"/>
      <c r="G23" s="45"/>
      <c r="H23" s="46"/>
      <c r="I23" s="44"/>
      <c r="J23" s="45"/>
      <c r="K23" s="45"/>
      <c r="L23" s="46"/>
      <c r="M23" s="44"/>
      <c r="N23" s="45"/>
      <c r="O23" s="45"/>
      <c r="P23" s="46"/>
      <c r="Q23" s="40"/>
      <c r="R23" s="40"/>
      <c r="S23" s="40"/>
      <c r="T23" s="121"/>
      <c r="U23" s="132"/>
      <c r="V23" s="44"/>
      <c r="W23" s="45"/>
      <c r="X23" s="45"/>
      <c r="Y23" s="46"/>
      <c r="Z23" s="44"/>
      <c r="AA23" s="45"/>
      <c r="AB23" s="45"/>
      <c r="AC23" s="46"/>
      <c r="AD23" s="44"/>
      <c r="AE23" s="45"/>
      <c r="AF23" s="45"/>
      <c r="AG23" s="46"/>
      <c r="AH23" s="40"/>
      <c r="AI23" s="40"/>
      <c r="AJ23" s="40"/>
      <c r="AK23" s="121"/>
      <c r="AL23" s="132"/>
      <c r="AM23" s="44"/>
      <c r="AN23" s="45"/>
      <c r="AO23" s="45"/>
      <c r="AP23" s="46"/>
      <c r="AQ23" s="44"/>
      <c r="AR23" s="45"/>
      <c r="AS23" s="45"/>
      <c r="AT23" s="46"/>
      <c r="AU23" s="44"/>
      <c r="AV23" s="45"/>
      <c r="AW23" s="45"/>
      <c r="AX23" s="46"/>
    </row>
    <row r="24" spans="1:50" ht="48" customHeight="1" thickBot="1" x14ac:dyDescent="0.25">
      <c r="A24" s="11"/>
      <c r="B24" s="12"/>
      <c r="C24" s="130"/>
      <c r="D24" s="133"/>
      <c r="E24" s="50"/>
      <c r="F24" s="51"/>
      <c r="G24" s="51"/>
      <c r="H24" s="52"/>
      <c r="I24" s="50"/>
      <c r="J24" s="51"/>
      <c r="K24" s="51"/>
      <c r="L24" s="52"/>
      <c r="M24" s="50"/>
      <c r="N24" s="51"/>
      <c r="O24" s="51"/>
      <c r="P24" s="52"/>
      <c r="Q24" s="40"/>
      <c r="R24" s="40"/>
      <c r="S24" s="40"/>
      <c r="T24" s="130"/>
      <c r="U24" s="133"/>
      <c r="V24" s="50"/>
      <c r="W24" s="51"/>
      <c r="X24" s="51"/>
      <c r="Y24" s="52"/>
      <c r="Z24" s="50"/>
      <c r="AA24" s="51"/>
      <c r="AB24" s="51"/>
      <c r="AC24" s="52"/>
      <c r="AD24" s="50"/>
      <c r="AE24" s="51"/>
      <c r="AF24" s="51"/>
      <c r="AG24" s="52"/>
      <c r="AH24" s="40"/>
      <c r="AI24" s="40"/>
      <c r="AJ24" s="40"/>
      <c r="AK24" s="130"/>
      <c r="AL24" s="34" t="s">
        <v>115</v>
      </c>
      <c r="AM24" s="50"/>
      <c r="AN24" s="51"/>
      <c r="AO24" s="51"/>
      <c r="AP24" s="52"/>
      <c r="AQ24" s="50"/>
      <c r="AR24" s="51"/>
      <c r="AS24" s="51"/>
      <c r="AT24" s="52"/>
      <c r="AU24" s="50"/>
      <c r="AV24" s="51"/>
      <c r="AW24" s="51"/>
      <c r="AX24" s="52"/>
    </row>
    <row r="25" spans="1:50" ht="48" customHeight="1" x14ac:dyDescent="0.2">
      <c r="A25" s="23" t="s">
        <v>30</v>
      </c>
      <c r="B25" s="24" t="s">
        <v>102</v>
      </c>
      <c r="C25" s="134" t="s">
        <v>37</v>
      </c>
      <c r="D25" s="135" t="s">
        <v>107</v>
      </c>
      <c r="E25" s="60">
        <f>INDEX(Tier_45,MATCH($A$25,T_45,0)+1+ROWS(E$25:E25),COLUMNS($E25:E25))</f>
        <v>3</v>
      </c>
      <c r="F25" s="61">
        <f>INDEX(Tier_45,MATCH($A$25,T_45,0)+1+ROWS(F$25:F25),COLUMNS($E25:F25))</f>
        <v>12</v>
      </c>
      <c r="G25" s="62">
        <f>INDEX(Tier_45,MATCH($A$25,T_45,0)+1+ROWS(G$25:G25),COLUMNS($E25:G25))</f>
        <v>0</v>
      </c>
      <c r="H25" s="63"/>
      <c r="I25" s="60">
        <f>INDEX(Tier_45,MATCH($A$25,T_45,0)+1+ROWS(I$25:I25),COLUMNS($E25:I25))</f>
        <v>3</v>
      </c>
      <c r="J25" s="61">
        <f>INDEX(Tier_45,MATCH($A$25,T_45,0)+1+ROWS(J$25:J25),COLUMNS($E25:J25))</f>
        <v>10</v>
      </c>
      <c r="K25" s="62">
        <f>INDEX(Tier_45,MATCH($A$25,T_45,0)+1+ROWS(K$25:K25),COLUMNS($E25:K25))</f>
        <v>0</v>
      </c>
      <c r="L25" s="63"/>
      <c r="M25" s="60">
        <f>INDEX(Tier_45,MATCH($A$25,T_45,0)+1+ROWS(M$25:M25),COLUMNS($E25:M25))</f>
        <v>3</v>
      </c>
      <c r="N25" s="61">
        <f>INDEX(Tier_45,MATCH($A$25,T_45,0)+1+ROWS(N$25:N25),COLUMNS($E25:N25))</f>
        <v>8</v>
      </c>
      <c r="O25" s="62">
        <f>INDEX(Tier_45,MATCH($A$25,T_45,0)+1+ROWS(O$25:O25),COLUMNS($E25:O25))</f>
        <v>0</v>
      </c>
      <c r="P25" s="63"/>
      <c r="Q25" s="40"/>
      <c r="R25" s="41" t="s">
        <v>30</v>
      </c>
      <c r="S25" s="42" t="s">
        <v>102</v>
      </c>
      <c r="T25" s="134" t="s">
        <v>37</v>
      </c>
      <c r="U25" s="135" t="s">
        <v>61</v>
      </c>
      <c r="V25" s="60">
        <f>INDEX(Tier_45,MATCH($R$25,T_45,0)+1+ROWS(V$25:V25),COLUMNS($V25:V25))</f>
        <v>3</v>
      </c>
      <c r="W25" s="61">
        <f>INDEX(Tier_45,MATCH($R$25,T_45,0)+1+ROWS(W$25:W25),COLUMNS($V25:W25))</f>
        <v>12</v>
      </c>
      <c r="X25" s="62">
        <f>INDEX(Tier_45,MATCH($R$25,T_45,0)+1+ROWS(X$25:X25),COLUMNS($V25:X25))</f>
        <v>0</v>
      </c>
      <c r="Y25" s="63">
        <f>INDEX(Tier_45,MATCH($R$25,T_45,0)+1+ROWS(Y$25:Y25),COLUMNS($V25:Y25))</f>
        <v>0</v>
      </c>
      <c r="Z25" s="60">
        <f>INDEX(Tier_45,MATCH($R$25,T_45,0)+1+ROWS(Z$25:Z25),COLUMNS($V25:Z25))</f>
        <v>3</v>
      </c>
      <c r="AA25" s="61">
        <f>INDEX(Tier_45,MATCH($R$25,T_45,0)+1+ROWS(AA$25:AA25),COLUMNS($V25:AA25))</f>
        <v>10</v>
      </c>
      <c r="AB25" s="62">
        <f>INDEX(Tier_45,MATCH($R$25,T_45,0)+1+ROWS(AB$25:AB25),COLUMNS($V25:AB25))</f>
        <v>0</v>
      </c>
      <c r="AC25" s="63">
        <f>INDEX(Tier_45,MATCH($R$25,T_45,0)+1+ROWS(AC$25:AC25),COLUMNS($V25:AC25))</f>
        <v>0</v>
      </c>
      <c r="AD25" s="60">
        <f>INDEX(Tier_45,MATCH($R$25,T_45,0)+1+ROWS(AD$25:AD25),COLUMNS($V25:AD25))</f>
        <v>3</v>
      </c>
      <c r="AE25" s="61">
        <f>INDEX(Tier_45,MATCH($R$25,T_45,0)+1+ROWS(AE$25:AE25),COLUMNS($V25:AE25))</f>
        <v>8</v>
      </c>
      <c r="AF25" s="62">
        <f>INDEX(Tier_45,MATCH($R$25,T_45,0)+1+ROWS(AF$25:AF25),COLUMNS($V25:AF25))</f>
        <v>0</v>
      </c>
      <c r="AG25" s="63">
        <f>INDEX(Tier_45,MATCH($R$25,T_45,0)+1+ROWS(AG$25:AG25),COLUMNS($V25:AG25))</f>
        <v>0</v>
      </c>
      <c r="AH25" s="40"/>
      <c r="AI25" s="41" t="s">
        <v>30</v>
      </c>
      <c r="AJ25" s="42" t="s">
        <v>102</v>
      </c>
      <c r="AK25" s="134" t="s">
        <v>37</v>
      </c>
      <c r="AL25" s="135" t="s">
        <v>63</v>
      </c>
      <c r="AM25" s="60">
        <f>INDEX(Tier_45,MATCH($AI$25,T_45,0)+1+ROWS(AM$25:AM25),COLUMNS($AM25:AM25))</f>
        <v>3</v>
      </c>
      <c r="AN25" s="61">
        <f>INDEX(Tier_45,MATCH($AI$25,T_45,0)+1+ROWS(AN$25:AN25),COLUMNS($AM25:AN25))</f>
        <v>12</v>
      </c>
      <c r="AO25" s="62">
        <f>INDEX(Tier_45,MATCH($AI$25,T_45,0)+1+ROWS(AO$25:AO25),COLUMNS($AM25:AO25))</f>
        <v>0</v>
      </c>
      <c r="AP25" s="63">
        <f>INDEX(Tier_45,MATCH($AI$25,T_45,0)+1+ROWS(AP$25:AP25),COLUMNS($AM25:AP25))</f>
        <v>0</v>
      </c>
      <c r="AQ25" s="60">
        <f>INDEX(Tier_45,MATCH($AI$25,T_45,0)+1+ROWS(AQ$25:AQ25),COLUMNS($AM25:AQ25))</f>
        <v>3</v>
      </c>
      <c r="AR25" s="61">
        <f>INDEX(Tier_45,MATCH($AI$25,T_45,0)+1+ROWS(AR$25:AR25),COLUMNS($AM25:AR25))</f>
        <v>10</v>
      </c>
      <c r="AS25" s="62">
        <f>INDEX(Tier_45,MATCH($AI$25,T_45,0)+1+ROWS(AS$25:AS25),COLUMNS($AM25:AS25))</f>
        <v>0</v>
      </c>
      <c r="AT25" s="63">
        <f>INDEX(Tier_45,MATCH($AI$25,T_45,0)+1+ROWS(AT$25:AT25),COLUMNS($AM25:AT25))</f>
        <v>0</v>
      </c>
      <c r="AU25" s="60">
        <f>INDEX(Tier_45,MATCH($AI$25,T_45,0)+1+ROWS(AU$25:AU25),COLUMNS($AM25:AU25))</f>
        <v>3</v>
      </c>
      <c r="AV25" s="61">
        <f>INDEX(Tier_45,MATCH($AI$25,T_45,0)+1+ROWS(AV$25:AV25),COLUMNS($AM25:AV25))</f>
        <v>8</v>
      </c>
      <c r="AW25" s="62">
        <f>INDEX(Tier_45,MATCH($AI$25,T_45,0)+1+ROWS(AW$25:AW25),COLUMNS($AM25:AW25))</f>
        <v>0</v>
      </c>
      <c r="AX25" s="63">
        <f>INDEX(Tier_45,MATCH($AI$25,T_45,0)+1+ROWS(AX$25:AX25),COLUMNS($AM25:AX25))</f>
        <v>0</v>
      </c>
    </row>
    <row r="26" spans="1:50" ht="48" customHeight="1" x14ac:dyDescent="0.2">
      <c r="A26" s="11"/>
      <c r="B26" s="10"/>
      <c r="C26" s="134"/>
      <c r="D26" s="136"/>
      <c r="E26" s="64"/>
      <c r="F26" s="65"/>
      <c r="G26" s="66"/>
      <c r="H26" s="67"/>
      <c r="I26" s="64"/>
      <c r="J26" s="65"/>
      <c r="K26" s="66"/>
      <c r="L26" s="67"/>
      <c r="M26" s="64"/>
      <c r="N26" s="65"/>
      <c r="O26" s="66"/>
      <c r="P26" s="67"/>
      <c r="Q26" s="40"/>
      <c r="R26" s="40"/>
      <c r="S26" s="68"/>
      <c r="T26" s="134"/>
      <c r="U26" s="136"/>
      <c r="V26" s="64"/>
      <c r="W26" s="65"/>
      <c r="X26" s="66"/>
      <c r="Y26" s="67"/>
      <c r="Z26" s="64"/>
      <c r="AA26" s="65"/>
      <c r="AB26" s="66"/>
      <c r="AC26" s="67"/>
      <c r="AD26" s="64"/>
      <c r="AE26" s="65"/>
      <c r="AF26" s="66"/>
      <c r="AG26" s="67"/>
      <c r="AH26" s="40"/>
      <c r="AI26" s="40"/>
      <c r="AJ26" s="68"/>
      <c r="AK26" s="134"/>
      <c r="AL26" s="136"/>
      <c r="AM26" s="64"/>
      <c r="AN26" s="65"/>
      <c r="AO26" s="66"/>
      <c r="AP26" s="67"/>
      <c r="AQ26" s="64"/>
      <c r="AR26" s="65"/>
      <c r="AS26" s="66"/>
      <c r="AT26" s="67"/>
      <c r="AU26" s="64"/>
      <c r="AV26" s="65"/>
      <c r="AW26" s="66"/>
      <c r="AX26" s="67"/>
    </row>
    <row r="27" spans="1:50" ht="48" customHeight="1" thickBot="1" x14ac:dyDescent="0.25">
      <c r="A27" s="11"/>
      <c r="B27" s="12"/>
      <c r="C27" s="134"/>
      <c r="D27" s="33" t="s">
        <v>109</v>
      </c>
      <c r="E27" s="69"/>
      <c r="F27" s="70"/>
      <c r="G27" s="71"/>
      <c r="H27" s="72"/>
      <c r="I27" s="69"/>
      <c r="J27" s="70"/>
      <c r="K27" s="71"/>
      <c r="L27" s="72"/>
      <c r="M27" s="69"/>
      <c r="N27" s="70"/>
      <c r="O27" s="71"/>
      <c r="P27" s="72"/>
      <c r="Q27" s="40"/>
      <c r="R27" s="40"/>
      <c r="S27" s="40"/>
      <c r="T27" s="134"/>
      <c r="U27" s="33" t="s">
        <v>113</v>
      </c>
      <c r="V27" s="69"/>
      <c r="W27" s="70"/>
      <c r="X27" s="71"/>
      <c r="Y27" s="72"/>
      <c r="Z27" s="69"/>
      <c r="AA27" s="70"/>
      <c r="AB27" s="71"/>
      <c r="AC27" s="72"/>
      <c r="AD27" s="69"/>
      <c r="AE27" s="70"/>
      <c r="AF27" s="71"/>
      <c r="AG27" s="72"/>
      <c r="AH27" s="40"/>
      <c r="AI27" s="40"/>
      <c r="AJ27" s="40"/>
      <c r="AK27" s="134"/>
      <c r="AL27" s="173"/>
      <c r="AM27" s="69"/>
      <c r="AN27" s="70"/>
      <c r="AO27" s="71"/>
      <c r="AP27" s="72"/>
      <c r="AQ27" s="69"/>
      <c r="AR27" s="70"/>
      <c r="AS27" s="71"/>
      <c r="AT27" s="72"/>
      <c r="AU27" s="69"/>
      <c r="AV27" s="70"/>
      <c r="AW27" s="71"/>
      <c r="AX27" s="72"/>
    </row>
    <row r="28" spans="1:50" ht="48" customHeight="1" x14ac:dyDescent="0.2">
      <c r="A28" s="23" t="s">
        <v>23</v>
      </c>
      <c r="B28" s="24" t="s">
        <v>103</v>
      </c>
      <c r="C28" s="134"/>
      <c r="D28" s="137" t="s">
        <v>76</v>
      </c>
      <c r="E28" s="60">
        <f>INDEX(Tier_45,MATCH($A$25,T_45,0)+1+ROWS(E$25:E28),COLUMNS($E28:E28))</f>
        <v>3</v>
      </c>
      <c r="F28" s="61">
        <f>INDEX(Tier_45,MATCH($A$28,T_45,0)+1+ROWS(F$28:F28),COLUMNS($E28:F28))</f>
        <v>8</v>
      </c>
      <c r="G28" s="62">
        <f>INDEX(Tier_45,MATCH($A$25,T_45,0)+1+ROWS(G$25:G28),COLUMNS($E28:G28))</f>
        <v>0</v>
      </c>
      <c r="H28" s="63"/>
      <c r="I28" s="60">
        <f>INDEX(Tier_45,MATCH($A$25,T_45,0)+1+ROWS(I$25:I28),COLUMNS($E28:I28))</f>
        <v>3</v>
      </c>
      <c r="J28" s="61">
        <f>INDEX(Tier_45,MATCH($A$28,T_45,0)+1+ROWS(J$28:J28),COLUMNS($E28:J28))</f>
        <v>10</v>
      </c>
      <c r="K28" s="62">
        <f>INDEX(Tier_45,MATCH($A$25,T_45,0)+1+ROWS(K$25:K28),COLUMNS($E28:K28))</f>
        <v>0</v>
      </c>
      <c r="L28" s="63"/>
      <c r="M28" s="60">
        <f>INDEX(Tier_45,MATCH($A$25,T_45,0)+1+ROWS(M$25:M28),COLUMNS($E28:M28))</f>
        <v>3</v>
      </c>
      <c r="N28" s="61">
        <f>INDEX(Tier_45,MATCH($A$28,T_45,0)+1+ROWS(N$28:N28),COLUMNS($E28:N28))</f>
        <v>12</v>
      </c>
      <c r="O28" s="62">
        <f>INDEX(Tier_45,MATCH($A$25,T_45,0)+1+ROWS(O$25:O28),COLUMNS($E28:O28))</f>
        <v>0</v>
      </c>
      <c r="P28" s="63"/>
      <c r="Q28" s="40"/>
      <c r="R28" s="41" t="s">
        <v>30</v>
      </c>
      <c r="S28" s="42" t="s">
        <v>103</v>
      </c>
      <c r="T28" s="134"/>
      <c r="U28" s="137" t="s">
        <v>77</v>
      </c>
      <c r="V28" s="60">
        <f>INDEX(Tier_45,MATCH($R$25,T_45,0)+1+ROWS(V$25:V28),COLUMNS($V28:V28))</f>
        <v>3</v>
      </c>
      <c r="W28" s="61">
        <f>INDEX(Tier_45,MATCH($R$25,T_45,0)+1+ROWS(W$25:W28),COLUMNS($V28:W28))</f>
        <v>8</v>
      </c>
      <c r="X28" s="62">
        <f>INDEX(Tier_45,MATCH($R$25,T_45,0)+1+ROWS(X$25:X28),COLUMNS($V28:X28))</f>
        <v>0</v>
      </c>
      <c r="Y28" s="63">
        <f>INDEX(Tier_45,MATCH($R$25,T_45,0)+1+ROWS(Y$25:Y28),COLUMNS($V28:Y28))</f>
        <v>0</v>
      </c>
      <c r="Z28" s="60">
        <f>INDEX(Tier_45,MATCH($R$25,T_45,0)+1+ROWS(Z$25:Z28),COLUMNS($V28:Z28))</f>
        <v>3</v>
      </c>
      <c r="AA28" s="61">
        <f>INDEX(Tier_45,MATCH($R$25,T_45,0)+1+ROWS(AA$25:AA28),COLUMNS($V28:AA28))</f>
        <v>10</v>
      </c>
      <c r="AB28" s="62">
        <f>INDEX(Tier_45,MATCH($R$25,T_45,0)+1+ROWS(AB$25:AB28),COLUMNS($V28:AB28))</f>
        <v>0</v>
      </c>
      <c r="AC28" s="63">
        <f>INDEX(Tier_45,MATCH($R$25,T_45,0)+1+ROWS(AC$25:AC28),COLUMNS($V28:AC28))</f>
        <v>0</v>
      </c>
      <c r="AD28" s="60">
        <f>INDEX(Tier_45,MATCH($R$25,T_45,0)+1+ROWS(AD$25:AD28),COLUMNS($V28:AD28))</f>
        <v>3</v>
      </c>
      <c r="AE28" s="61">
        <f>INDEX(Tier_45,MATCH($R$25,T_45,0)+1+ROWS(AE$25:AE28),COLUMNS($V28:AE28))</f>
        <v>12</v>
      </c>
      <c r="AF28" s="62">
        <f>INDEX(Tier_45,MATCH($R$25,T_45,0)+1+ROWS(AF$25:AF28),COLUMNS($V28:AF28))</f>
        <v>0</v>
      </c>
      <c r="AG28" s="63">
        <f>INDEX(Tier_45,MATCH($R$25,T_45,0)+1+ROWS(AG$25:AG28),COLUMNS($V28:AG28))</f>
        <v>0</v>
      </c>
      <c r="AH28" s="40"/>
      <c r="AI28" s="41" t="s">
        <v>30</v>
      </c>
      <c r="AJ28" s="42" t="s">
        <v>103</v>
      </c>
      <c r="AK28" s="134"/>
      <c r="AL28" s="135" t="s">
        <v>81</v>
      </c>
      <c r="AM28" s="60">
        <f>INDEX(Tier_45,MATCH($AI$25,T_45,0)+1+ROWS(AM$25:AM28),COLUMNS($AM28:AM28))</f>
        <v>3</v>
      </c>
      <c r="AN28" s="61">
        <f>INDEX(Tier_45,MATCH($AI$25,T_45,0)+1+ROWS(AN$25:AN28),COLUMNS($AM28:AN28))</f>
        <v>8</v>
      </c>
      <c r="AO28" s="62">
        <f>INDEX(Tier_45,MATCH($AI$25,T_45,0)+1+ROWS(AO$25:AO28),COLUMNS($AM28:AO28))</f>
        <v>0</v>
      </c>
      <c r="AP28" s="63">
        <f>INDEX(Tier_45,MATCH($AI$25,T_45,0)+1+ROWS(AP$25:AP28),COLUMNS($AM28:AP28))</f>
        <v>0</v>
      </c>
      <c r="AQ28" s="60">
        <f>INDEX(Tier_45,MATCH($AI$25,T_45,0)+1+ROWS(AQ$25:AQ28),COLUMNS($AM28:AQ28))</f>
        <v>3</v>
      </c>
      <c r="AR28" s="61">
        <f>INDEX(Tier_45,MATCH($AI$25,T_45,0)+1+ROWS(AR$25:AR28),COLUMNS($AM28:AR28))</f>
        <v>10</v>
      </c>
      <c r="AS28" s="62">
        <f>INDEX(Tier_45,MATCH($AI$25,T_45,0)+1+ROWS(AS$25:AS28),COLUMNS($AM28:AS28))</f>
        <v>0</v>
      </c>
      <c r="AT28" s="63">
        <f>INDEX(Tier_45,MATCH($AI$25,T_45,0)+1+ROWS(AT$25:AT28),COLUMNS($AM28:AT28))</f>
        <v>0</v>
      </c>
      <c r="AU28" s="60">
        <f>INDEX(Tier_45,MATCH($AI$25,T_45,0)+1+ROWS(AU$25:AU28),COLUMNS($AM28:AU28))</f>
        <v>3</v>
      </c>
      <c r="AV28" s="61">
        <f>INDEX(Tier_45,MATCH($AI$25,T_45,0)+1+ROWS(AV$25:AV28),COLUMNS($AM28:AV28))</f>
        <v>12</v>
      </c>
      <c r="AW28" s="62">
        <f>INDEX(Tier_45,MATCH($AI$25,T_45,0)+1+ROWS(AW$25:AW28),COLUMNS($AM28:AW28))</f>
        <v>0</v>
      </c>
      <c r="AX28" s="63">
        <f>INDEX(Tier_45,MATCH($AI$25,T_45,0)+1+ROWS(AX$25:AX28),COLUMNS($AM28:AX28))</f>
        <v>0</v>
      </c>
    </row>
    <row r="29" spans="1:50" ht="48" customHeight="1" x14ac:dyDescent="0.2">
      <c r="A29" s="11"/>
      <c r="B29" s="10"/>
      <c r="C29" s="134"/>
      <c r="D29" s="138"/>
      <c r="E29" s="64"/>
      <c r="F29" s="65"/>
      <c r="G29" s="66"/>
      <c r="H29" s="67"/>
      <c r="I29" s="64"/>
      <c r="J29" s="65"/>
      <c r="K29" s="66"/>
      <c r="L29" s="67"/>
      <c r="M29" s="64"/>
      <c r="N29" s="65"/>
      <c r="O29" s="66"/>
      <c r="P29" s="67"/>
      <c r="Q29" s="40"/>
      <c r="R29" s="40"/>
      <c r="S29" s="68"/>
      <c r="T29" s="134"/>
      <c r="U29" s="138"/>
      <c r="V29" s="64"/>
      <c r="W29" s="65"/>
      <c r="X29" s="66"/>
      <c r="Y29" s="67"/>
      <c r="Z29" s="64"/>
      <c r="AA29" s="65"/>
      <c r="AB29" s="66"/>
      <c r="AC29" s="67"/>
      <c r="AD29" s="64"/>
      <c r="AE29" s="65"/>
      <c r="AF29" s="66"/>
      <c r="AG29" s="67"/>
      <c r="AH29" s="40"/>
      <c r="AI29" s="40"/>
      <c r="AJ29" s="68"/>
      <c r="AK29" s="134"/>
      <c r="AL29" s="136"/>
      <c r="AM29" s="64"/>
      <c r="AN29" s="65"/>
      <c r="AO29" s="66"/>
      <c r="AP29" s="67"/>
      <c r="AQ29" s="64"/>
      <c r="AR29" s="65"/>
      <c r="AS29" s="66"/>
      <c r="AT29" s="67"/>
      <c r="AU29" s="64"/>
      <c r="AV29" s="65"/>
      <c r="AW29" s="66"/>
      <c r="AX29" s="67"/>
    </row>
    <row r="30" spans="1:50" ht="48" customHeight="1" thickBot="1" x14ac:dyDescent="0.25">
      <c r="A30" s="11"/>
      <c r="B30" s="12"/>
      <c r="C30" s="134"/>
      <c r="D30" s="30"/>
      <c r="E30" s="69"/>
      <c r="F30" s="70"/>
      <c r="G30" s="71"/>
      <c r="H30" s="72"/>
      <c r="I30" s="69"/>
      <c r="J30" s="70"/>
      <c r="K30" s="71"/>
      <c r="L30" s="72"/>
      <c r="M30" s="69"/>
      <c r="N30" s="70"/>
      <c r="O30" s="71"/>
      <c r="P30" s="72"/>
      <c r="Q30" s="40"/>
      <c r="R30" s="40"/>
      <c r="S30" s="40"/>
      <c r="T30" s="134"/>
      <c r="U30" s="30"/>
      <c r="V30" s="69"/>
      <c r="W30" s="70"/>
      <c r="X30" s="71"/>
      <c r="Y30" s="72"/>
      <c r="Z30" s="69"/>
      <c r="AA30" s="70"/>
      <c r="AB30" s="71"/>
      <c r="AC30" s="72"/>
      <c r="AD30" s="69"/>
      <c r="AE30" s="70"/>
      <c r="AF30" s="71"/>
      <c r="AG30" s="72"/>
      <c r="AH30" s="40"/>
      <c r="AI30" s="40"/>
      <c r="AJ30" s="40"/>
      <c r="AK30" s="134"/>
      <c r="AL30" s="173"/>
      <c r="AM30" s="69"/>
      <c r="AN30" s="70"/>
      <c r="AO30" s="71"/>
      <c r="AP30" s="72"/>
      <c r="AQ30" s="69"/>
      <c r="AR30" s="70"/>
      <c r="AS30" s="71"/>
      <c r="AT30" s="72"/>
      <c r="AU30" s="69"/>
      <c r="AV30" s="70"/>
      <c r="AW30" s="71"/>
      <c r="AX30" s="72"/>
    </row>
    <row r="31" spans="1:50" ht="48" customHeight="1" x14ac:dyDescent="0.2">
      <c r="A31" s="23" t="s">
        <v>110</v>
      </c>
      <c r="B31" s="24" t="s">
        <v>41</v>
      </c>
      <c r="C31" s="126" t="s">
        <v>36</v>
      </c>
      <c r="D31" s="119" t="s">
        <v>65</v>
      </c>
      <c r="E31" s="73">
        <f>INDEX(Tier_67,MATCH($A$31,T_67,0)+1+ROWS(E$31:E31),COLUMNS($E31:E31))</f>
        <v>2</v>
      </c>
      <c r="F31" s="32" t="str">
        <f>INDEX(Tier_67,MATCH($A$31,T_67,0)+1+ROWS(F$31:F31),COLUMNS($E31:F31))</f>
        <v>30 sec.</v>
      </c>
      <c r="G31" s="74">
        <f>INDEX(Tier_67,MATCH($A$31,T_67,0)+1+ROWS(G$31:G31),COLUMNS($E31:G31))</f>
        <v>0</v>
      </c>
      <c r="H31" s="75"/>
      <c r="I31" s="73">
        <f>INDEX(Tier_67,MATCH($A$31,T_67,0)+1+ROWS(I$31:I31),COLUMNS($E31:I31))</f>
        <v>2</v>
      </c>
      <c r="J31" s="32" t="str">
        <f>INDEX(Tier_67,MATCH($A$31,T_67,0)+1+ROWS(J$31:J31),COLUMNS($E31:J31))</f>
        <v>30 sec.</v>
      </c>
      <c r="K31" s="74">
        <f>INDEX(Tier_67,MATCH($A$31,T_67,0)+1+ROWS(K$31:K31),COLUMNS($E31:K31))</f>
        <v>0</v>
      </c>
      <c r="L31" s="75"/>
      <c r="M31" s="73">
        <f>INDEX(Tier_67,MATCH($A$31,T_67,0)+1+ROWS(M$31:M31),COLUMNS($E31:M31))</f>
        <v>2</v>
      </c>
      <c r="N31" s="32" t="str">
        <f>INDEX(Tier_67,MATCH($A$31,T_67,0)+1+ROWS(N$31:N31),COLUMNS($E31:N31))</f>
        <v>30 sec.</v>
      </c>
      <c r="O31" s="74">
        <f>INDEX(Tier_67,MATCH($A$31,T_67,0)+1+ROWS(O$31:O31),COLUMNS($E31:O31))</f>
        <v>0</v>
      </c>
      <c r="P31" s="75"/>
      <c r="Q31" s="40"/>
      <c r="R31" s="41" t="s">
        <v>32</v>
      </c>
      <c r="S31" s="42" t="s">
        <v>41</v>
      </c>
      <c r="T31" s="126" t="s">
        <v>36</v>
      </c>
      <c r="U31" s="119" t="s">
        <v>64</v>
      </c>
      <c r="V31" s="73">
        <f>INDEX(Tier_67,MATCH($R$31,T_67,0)+1+ROWS(V$31:V31),COLUMNS($V31:V31))</f>
        <v>2</v>
      </c>
      <c r="W31" s="76">
        <f>INDEX(Tier_67,MATCH($R$31,T_67,0)+1+ROWS(W$31:W31),COLUMNS($V31:W31))</f>
        <v>10</v>
      </c>
      <c r="X31" s="74">
        <f>INDEX(Tier_67,MATCH($R$31,T_67,0)+1+ROWS(X$31:X31),COLUMNS($V31:X31))</f>
        <v>0</v>
      </c>
      <c r="Y31" s="75">
        <f>INDEX(Tier_67,MATCH($R$31,T_67,0)+1+ROWS(Y$31:Y31),COLUMNS($V31:Y31))</f>
        <v>0</v>
      </c>
      <c r="Z31" s="73">
        <f>INDEX(Tier_67,MATCH($R$31,T_67,0)+1+ROWS(Z$31:Z31),COLUMNS($V31:Z31))</f>
        <v>2</v>
      </c>
      <c r="AA31" s="76">
        <f>INDEX(Tier_67,MATCH($R$31,T_67,0)+1+ROWS(AA$31:AA31),COLUMNS($V31:AA31))</f>
        <v>12</v>
      </c>
      <c r="AB31" s="74">
        <f>INDEX(Tier_67,MATCH($R$31,T_67,0)+1+ROWS(AB$31:AB31),COLUMNS($V31:AB31))</f>
        <v>0</v>
      </c>
      <c r="AC31" s="75">
        <f>INDEX(Tier_67,MATCH($R$31,T_67,0)+1+ROWS(AC$31:AC31),COLUMNS($V31:AC31))</f>
        <v>0</v>
      </c>
      <c r="AD31" s="73">
        <f>INDEX(Tier_67,MATCH($R$31,T_67,0)+1+ROWS(AD$31:AD31),COLUMNS($V31:AD31))</f>
        <v>2</v>
      </c>
      <c r="AE31" s="76">
        <f>INDEX(Tier_67,MATCH($R$31,T_67,0)+1+ROWS(AE$31:AE31),COLUMNS($V31:AE31))</f>
        <v>15</v>
      </c>
      <c r="AF31" s="74">
        <f>INDEX(Tier_67,MATCH($R$31,T_67,0)+1+ROWS(AF$31:AF31),COLUMNS($V31:AF31))</f>
        <v>0</v>
      </c>
      <c r="AG31" s="75">
        <f>INDEX(Tier_67,MATCH($R$31,T_67,0)+1+ROWS(AG$31:AG31),COLUMNS($V31:AG31))</f>
        <v>0</v>
      </c>
      <c r="AH31" s="40"/>
      <c r="AI31" s="41" t="s">
        <v>32</v>
      </c>
      <c r="AJ31" s="42" t="s">
        <v>41</v>
      </c>
      <c r="AK31" s="126" t="s">
        <v>36</v>
      </c>
      <c r="AL31" s="119" t="s">
        <v>87</v>
      </c>
      <c r="AM31" s="73">
        <f>INDEX(Tier_67,MATCH($AI$31,T_67,0)+1+ROWS(AM$31:AM31),COLUMNS($AM31:AM31))</f>
        <v>2</v>
      </c>
      <c r="AN31" s="76">
        <f>INDEX(Tier_67,MATCH($AI$31,T_67,0)+1+ROWS(AN$31:AN31),COLUMNS($AM31:AN31))</f>
        <v>10</v>
      </c>
      <c r="AO31" s="74">
        <f>INDEX(Tier_67,MATCH($AI$31,T_67,0)+1+ROWS(AO$31:AO31),COLUMNS($AM31:AO31))</f>
        <v>0</v>
      </c>
      <c r="AP31" s="75">
        <f>INDEX(Tier_67,MATCH($AI$31,T_67,0)+1+ROWS(AP$31:AP31),COLUMNS($AM31:AP31))</f>
        <v>0</v>
      </c>
      <c r="AQ31" s="73">
        <f>INDEX(Tier_67,MATCH($AI$31,T_67,0)+1+ROWS(AQ$31:AQ31),COLUMNS($AM31:AQ31))</f>
        <v>2</v>
      </c>
      <c r="AR31" s="76">
        <f>INDEX(Tier_67,MATCH($AI$31,T_67,0)+1+ROWS(AR$31:AR31),COLUMNS($AM31:AR31))</f>
        <v>12</v>
      </c>
      <c r="AS31" s="74">
        <f>INDEX(Tier_67,MATCH($AI$31,T_67,0)+1+ROWS(AS$31:AS31),COLUMNS($AM31:AS31))</f>
        <v>0</v>
      </c>
      <c r="AT31" s="75">
        <f>INDEX(Tier_67,MATCH($AI$31,T_67,0)+1+ROWS(AT$31:AT31),COLUMNS($AM31:AT31))</f>
        <v>0</v>
      </c>
      <c r="AU31" s="73">
        <f>INDEX(Tier_67,MATCH($AI$31,T_67,0)+1+ROWS(AU$31:AU31),COLUMNS($AM31:AU31))</f>
        <v>2</v>
      </c>
      <c r="AV31" s="76">
        <f>INDEX(Tier_67,MATCH($AI$31,T_67,0)+1+ROWS(AV$31:AV31),COLUMNS($AM31:AV31))</f>
        <v>15</v>
      </c>
      <c r="AW31" s="74">
        <f>INDEX(Tier_67,MATCH($AI$31,T_67,0)+1+ROWS(AW$31:AW31),COLUMNS($AM31:AW31))</f>
        <v>0</v>
      </c>
      <c r="AX31" s="75">
        <f>INDEX(Tier_67,MATCH($AI$31,T_67,0)+1+ROWS(AX$31:AX31),COLUMNS($AM31:AX31))</f>
        <v>0</v>
      </c>
    </row>
    <row r="32" spans="1:50" ht="48" customHeight="1" thickBot="1" x14ac:dyDescent="0.25">
      <c r="A32" s="11"/>
      <c r="B32" s="10"/>
      <c r="C32" s="127"/>
      <c r="D32" s="120"/>
      <c r="E32" s="77"/>
      <c r="F32" s="78"/>
      <c r="G32" s="79"/>
      <c r="H32" s="80"/>
      <c r="I32" s="77"/>
      <c r="J32" s="78"/>
      <c r="K32" s="79"/>
      <c r="L32" s="80"/>
      <c r="M32" s="77"/>
      <c r="N32" s="78"/>
      <c r="O32" s="79"/>
      <c r="P32" s="80"/>
      <c r="Q32" s="40"/>
      <c r="R32" s="40"/>
      <c r="S32" s="68"/>
      <c r="T32" s="127"/>
      <c r="U32" s="120"/>
      <c r="V32" s="77"/>
      <c r="W32" s="78"/>
      <c r="X32" s="79"/>
      <c r="Y32" s="80"/>
      <c r="Z32" s="77"/>
      <c r="AA32" s="78"/>
      <c r="AB32" s="79"/>
      <c r="AC32" s="80"/>
      <c r="AD32" s="77"/>
      <c r="AE32" s="78"/>
      <c r="AF32" s="79"/>
      <c r="AG32" s="80"/>
      <c r="AH32" s="40"/>
      <c r="AI32" s="40"/>
      <c r="AJ32" s="68"/>
      <c r="AK32" s="127"/>
      <c r="AL32" s="120"/>
      <c r="AM32" s="77"/>
      <c r="AN32" s="78"/>
      <c r="AO32" s="79"/>
      <c r="AP32" s="80"/>
      <c r="AQ32" s="77"/>
      <c r="AR32" s="78"/>
      <c r="AS32" s="79"/>
      <c r="AT32" s="80"/>
      <c r="AU32" s="77"/>
      <c r="AV32" s="78"/>
      <c r="AW32" s="79"/>
      <c r="AX32" s="80"/>
    </row>
    <row r="33" spans="1:50" ht="48" customHeight="1" x14ac:dyDescent="0.2">
      <c r="A33" s="23" t="s">
        <v>32</v>
      </c>
      <c r="B33" s="24" t="s">
        <v>43</v>
      </c>
      <c r="C33" s="127"/>
      <c r="D33" s="119" t="s">
        <v>93</v>
      </c>
      <c r="E33" s="73">
        <f>INDEX(Tier_67,MATCH($A$33,T_67,0)+1+ROWS(E$33:E33),COLUMNS($E33:E33))</f>
        <v>2</v>
      </c>
      <c r="F33" s="76">
        <f>INDEX(Tier_67,MATCH($A$33,T_67,0)+1+ROWS(F$33:F33),COLUMNS($E33:F33))</f>
        <v>10</v>
      </c>
      <c r="G33" s="74">
        <f>INDEX(Tier_67,MATCH($A$33,T_67,0)+1+ROWS(G$33:G33),COLUMNS($E33:G33))</f>
        <v>0</v>
      </c>
      <c r="H33" s="75"/>
      <c r="I33" s="73">
        <f>INDEX(Tier_67,MATCH($A$33,T_67,0)+1+ROWS(I$33:I33),COLUMNS($E33:I33))</f>
        <v>2</v>
      </c>
      <c r="J33" s="76">
        <f>INDEX(Tier_67,MATCH($A$33,T_67,0)+1+ROWS(J$33:J33),COLUMNS($E33:J33))</f>
        <v>12</v>
      </c>
      <c r="K33" s="74">
        <f>INDEX(Tier_67,MATCH($A$33,T_67,0)+1+ROWS(K$33:K33),COLUMNS($E33:K33))</f>
        <v>0</v>
      </c>
      <c r="L33" s="75"/>
      <c r="M33" s="73">
        <f>INDEX(Tier_67,MATCH($A$33,T_67,0)+1+ROWS(M$33:M33),COLUMNS($E33:M33))</f>
        <v>2</v>
      </c>
      <c r="N33" s="76">
        <f>INDEX(Tier_67,MATCH($A$33,T_67,0)+1+ROWS(N$33:N33),COLUMNS($E33:N33))</f>
        <v>15</v>
      </c>
      <c r="O33" s="74">
        <f>INDEX(Tier_67,MATCH($A$33,T_67,0)+1+ROWS(O$33:O33),COLUMNS($E33:O33))</f>
        <v>0</v>
      </c>
      <c r="P33" s="75"/>
      <c r="Q33" s="40"/>
      <c r="R33" s="41" t="s">
        <v>31</v>
      </c>
      <c r="S33" s="42" t="s">
        <v>43</v>
      </c>
      <c r="T33" s="127"/>
      <c r="U33" s="119" t="s">
        <v>99</v>
      </c>
      <c r="V33" s="73">
        <f>INDEX(Tier_67,MATCH($R$33,T_67,0)+1+ROWS(V$33:V33),COLUMNS($V33:V33))</f>
        <v>2</v>
      </c>
      <c r="W33" s="76">
        <f>INDEX(Tier_67,MATCH($R$33,T_67,0)+1+ROWS(W$33:W33),COLUMNS($V33:W33))</f>
        <v>15</v>
      </c>
      <c r="X33" s="74">
        <f>INDEX(Tier_67,MATCH($R$33,T_67,0)+1+ROWS(X$33:X33),COLUMNS($V33:X33))</f>
        <v>0</v>
      </c>
      <c r="Y33" s="75">
        <f>INDEX(Tier_67,MATCH($R$33,T_67,0)+1+ROWS(Y$33:Y33),COLUMNS($V33:Y33))</f>
        <v>0</v>
      </c>
      <c r="Z33" s="73">
        <f>INDEX(Tier_67,MATCH($R$33,T_67,0)+1+ROWS(Z$33:Z33),COLUMNS($V33:Z33))</f>
        <v>2</v>
      </c>
      <c r="AA33" s="76">
        <f>INDEX(Tier_67,MATCH($R$33,T_67,0)+1+ROWS(AA$33:AA33),COLUMNS($V33:AA33))</f>
        <v>12</v>
      </c>
      <c r="AB33" s="74">
        <f>INDEX(Tier_67,MATCH($R$33,T_67,0)+1+ROWS(AB$33:AB33),COLUMNS($V33:AB33))</f>
        <v>0</v>
      </c>
      <c r="AC33" s="75">
        <f>INDEX(Tier_67,MATCH($R$33,T_67,0)+1+ROWS(AC$33:AC33),COLUMNS($V33:AC33))</f>
        <v>0</v>
      </c>
      <c r="AD33" s="73">
        <f>INDEX(Tier_67,MATCH($R$33,T_67,0)+1+ROWS(AD$33:AD33),COLUMNS($V33:AD33))</f>
        <v>2</v>
      </c>
      <c r="AE33" s="76">
        <f>INDEX(Tier_67,MATCH($R$33,T_67,0)+1+ROWS(AE$33:AE33),COLUMNS($V33:AE33))</f>
        <v>10</v>
      </c>
      <c r="AF33" s="74">
        <f>INDEX(Tier_67,MATCH($R$33,T_67,0)+1+ROWS(AF$33:AF33),COLUMNS($V33:AF33))</f>
        <v>0</v>
      </c>
      <c r="AG33" s="75">
        <f>INDEX(Tier_67,MATCH($R$33,T_67,0)+1+ROWS(AG$33:AG33),COLUMNS($V33:AG33))</f>
        <v>0</v>
      </c>
      <c r="AH33" s="40"/>
      <c r="AI33" s="41" t="s">
        <v>32</v>
      </c>
      <c r="AJ33" s="42" t="s">
        <v>43</v>
      </c>
      <c r="AK33" s="127"/>
      <c r="AL33" s="119" t="s">
        <v>116</v>
      </c>
      <c r="AM33" s="73">
        <f>INDEX(Tier_67,MATCH($AI$33,T_67,0)+1+ROWS(AM$33:AM33),COLUMNS($AM33:AM33))</f>
        <v>2</v>
      </c>
      <c r="AN33" s="76">
        <f>INDEX(Tier_67,MATCH($AI$33,T_67,0)+1+ROWS(AN$33:AN33),COLUMNS($AM33:AN33))</f>
        <v>10</v>
      </c>
      <c r="AO33" s="74">
        <f>INDEX(Tier_67,MATCH($AI$33,T_67,0)+1+ROWS(AO$33:AO33),COLUMNS($AM33:AO33))</f>
        <v>0</v>
      </c>
      <c r="AP33" s="75">
        <f>INDEX(Tier_67,MATCH($AI$33,T_67,0)+1+ROWS(AP$33:AP33),COLUMNS($AM33:AP33))</f>
        <v>0</v>
      </c>
      <c r="AQ33" s="73">
        <f>INDEX(Tier_67,MATCH($AI$33,T_67,0)+1+ROWS(AQ$33:AQ33),COLUMNS($AM33:AQ33))</f>
        <v>2</v>
      </c>
      <c r="AR33" s="76">
        <f>INDEX(Tier_67,MATCH($AI$33,T_67,0)+1+ROWS(AR$33:AR33),COLUMNS($AM33:AR33))</f>
        <v>12</v>
      </c>
      <c r="AS33" s="74">
        <f>INDEX(Tier_67,MATCH($AI$33,T_67,0)+1+ROWS(AS$33:AS33),COLUMNS($AM33:AS33))</f>
        <v>0</v>
      </c>
      <c r="AT33" s="75">
        <f>INDEX(Tier_67,MATCH($AI$33,T_67,0)+1+ROWS(AT$33:AT33),COLUMNS($AM33:AT33))</f>
        <v>0</v>
      </c>
      <c r="AU33" s="73">
        <f>INDEX(Tier_67,MATCH($AI$33,T_67,0)+1+ROWS(AU$33:AU33),COLUMNS($AM33:AU33))</f>
        <v>2</v>
      </c>
      <c r="AV33" s="76">
        <f>INDEX(Tier_67,MATCH($AI$33,T_67,0)+1+ROWS(AV$33:AV33),COLUMNS($AM33:AV33))</f>
        <v>15</v>
      </c>
      <c r="AW33" s="74">
        <f>INDEX(Tier_67,MATCH($AI$33,T_67,0)+1+ROWS(AW$33:AW33),COLUMNS($AM33:AW33))</f>
        <v>0</v>
      </c>
      <c r="AX33" s="75">
        <f>INDEX(Tier_67,MATCH($AI$33,T_67,0)+1+ROWS(AX$33:AX33),COLUMNS($AM33:AX33))</f>
        <v>0</v>
      </c>
    </row>
    <row r="34" spans="1:50" ht="48" customHeight="1" thickBot="1" x14ac:dyDescent="0.25">
      <c r="A34" s="11"/>
      <c r="B34" s="10"/>
      <c r="C34" s="127"/>
      <c r="D34" s="120"/>
      <c r="E34" s="77"/>
      <c r="F34" s="78"/>
      <c r="G34" s="79"/>
      <c r="H34" s="80"/>
      <c r="I34" s="77"/>
      <c r="J34" s="78"/>
      <c r="K34" s="79"/>
      <c r="L34" s="80"/>
      <c r="M34" s="77"/>
      <c r="N34" s="78"/>
      <c r="O34" s="79"/>
      <c r="P34" s="80"/>
      <c r="Q34" s="40"/>
      <c r="R34" s="40"/>
      <c r="S34" s="68"/>
      <c r="T34" s="127"/>
      <c r="U34" s="120"/>
      <c r="V34" s="77"/>
      <c r="W34" s="78"/>
      <c r="X34" s="79"/>
      <c r="Y34" s="80"/>
      <c r="Z34" s="77"/>
      <c r="AA34" s="78"/>
      <c r="AB34" s="79"/>
      <c r="AC34" s="80"/>
      <c r="AD34" s="77"/>
      <c r="AE34" s="78"/>
      <c r="AF34" s="79"/>
      <c r="AG34" s="80"/>
      <c r="AH34" s="40"/>
      <c r="AI34" s="40"/>
      <c r="AJ34" s="68"/>
      <c r="AK34" s="127"/>
      <c r="AL34" s="120"/>
      <c r="AM34" s="77"/>
      <c r="AN34" s="78"/>
      <c r="AO34" s="79"/>
      <c r="AP34" s="80"/>
      <c r="AQ34" s="77"/>
      <c r="AR34" s="78"/>
      <c r="AS34" s="79"/>
      <c r="AT34" s="80"/>
      <c r="AU34" s="77"/>
      <c r="AV34" s="78"/>
      <c r="AW34" s="79"/>
      <c r="AX34" s="80"/>
    </row>
    <row r="35" spans="1:50" ht="48" customHeight="1" x14ac:dyDescent="0.2">
      <c r="A35" s="23" t="s">
        <v>117</v>
      </c>
      <c r="B35" s="24" t="s">
        <v>42</v>
      </c>
      <c r="C35" s="127"/>
      <c r="D35" s="119" t="s">
        <v>90</v>
      </c>
      <c r="E35" s="73">
        <f>INDEX(Tier_67,MATCH($A$35,T_67,0)+1+ROWS(E$35:E35),COLUMNS($E35:E35))</f>
        <v>2</v>
      </c>
      <c r="F35" s="76">
        <f>INDEX(Tier_67,MATCH($A$35,T_67,0)+1+ROWS(F$35:F35),COLUMNS($E35:F35))</f>
        <v>10</v>
      </c>
      <c r="G35" s="74">
        <f>INDEX(Tier_67,MATCH($A$35,T_67,0)+1+ROWS(G$35:G35),COLUMNS($E35:G35))</f>
        <v>0</v>
      </c>
      <c r="H35" s="75"/>
      <c r="I35" s="73">
        <f>INDEX(Tier_67,MATCH($A$35,T_67,0)+1+ROWS(I$35:I35),COLUMNS($E35:I35))</f>
        <v>2</v>
      </c>
      <c r="J35" s="76">
        <f>INDEX(Tier_67,MATCH($A$35,T_67,0)+1+ROWS(J$35:J35),COLUMNS($E35:J35))</f>
        <v>10</v>
      </c>
      <c r="K35" s="74">
        <f>INDEX(Tier_67,MATCH($A$35,T_67,0)+1+ROWS(K$35:K35),COLUMNS($E35:K35))</f>
        <v>0</v>
      </c>
      <c r="L35" s="75"/>
      <c r="M35" s="73">
        <f>INDEX(Tier_67,MATCH($A$35,T_67,0)+1+ROWS(M$35:M35),COLUMNS($E35:M35))</f>
        <v>2</v>
      </c>
      <c r="N35" s="76">
        <f>INDEX(Tier_67,MATCH($A$35,T_67,0)+1+ROWS(N$35:N35),COLUMNS($E35:N35))</f>
        <v>10</v>
      </c>
      <c r="O35" s="74">
        <f>INDEX(Tier_67,MATCH($A$35,T_67,0)+1+ROWS(O$35:O35),COLUMNS($E35:O35))</f>
        <v>0</v>
      </c>
      <c r="P35" s="75"/>
      <c r="Q35" s="40"/>
      <c r="R35" s="41" t="s">
        <v>117</v>
      </c>
      <c r="S35" s="42" t="s">
        <v>42</v>
      </c>
      <c r="T35" s="127"/>
      <c r="U35" s="119" t="s">
        <v>91</v>
      </c>
      <c r="V35" s="73">
        <f>INDEX(Tier_67,MATCH($R$35,T_67,0)+1+ROWS(V$35:V35),COLUMNS($V35:V35))</f>
        <v>2</v>
      </c>
      <c r="W35" s="76">
        <f>INDEX(Tier_67,MATCH($R$35,T_67,0)+1+ROWS(W$35:W35),COLUMNS($V35:W35))</f>
        <v>10</v>
      </c>
      <c r="X35" s="74">
        <f>INDEX(Tier_67,MATCH($R$35,T_67,0)+1+ROWS(X$35:X35),COLUMNS($V35:X35))</f>
        <v>0</v>
      </c>
      <c r="Y35" s="75">
        <f>INDEX(Tier_67,MATCH($R$35,T_67,0)+1+ROWS(Y$35:Y35),COLUMNS($V35:Y35))</f>
        <v>0</v>
      </c>
      <c r="Z35" s="73">
        <f>INDEX(Tier_67,MATCH($R$35,T_67,0)+1+ROWS(Z$35:Z35),COLUMNS($V35:Z35))</f>
        <v>2</v>
      </c>
      <c r="AA35" s="76">
        <f>INDEX(Tier_67,MATCH($R$35,T_67,0)+1+ROWS(AA$35:AA35),COLUMNS($V35:AA35))</f>
        <v>10</v>
      </c>
      <c r="AB35" s="74">
        <f>INDEX(Tier_67,MATCH($R$35,T_67,0)+1+ROWS(AB$35:AB35),COLUMNS($V35:AB35))</f>
        <v>0</v>
      </c>
      <c r="AC35" s="75">
        <f>INDEX(Tier_67,MATCH($R$35,T_67,0)+1+ROWS(AC$35:AC35),COLUMNS($V35:AC35))</f>
        <v>0</v>
      </c>
      <c r="AD35" s="73">
        <f>INDEX(Tier_67,MATCH($R$35,T_67,0)+1+ROWS(AD$35:AD35),COLUMNS($V35:AD35))</f>
        <v>2</v>
      </c>
      <c r="AE35" s="76">
        <f>INDEX(Tier_67,MATCH($R$35,T_67,0)+1+ROWS(AE$35:AE35),COLUMNS($V35:AE35))</f>
        <v>10</v>
      </c>
      <c r="AF35" s="74">
        <f>INDEX(Tier_67,MATCH($R$35,T_67,0)+1+ROWS(AF$35:AF35),COLUMNS($V35:AF35))</f>
        <v>0</v>
      </c>
      <c r="AG35" s="75">
        <f>INDEX(Tier_67,MATCH($R$35,T_67,0)+1+ROWS(AG$35:AG35),COLUMNS($V35:AG35))</f>
        <v>0</v>
      </c>
      <c r="AH35" s="40"/>
      <c r="AI35" s="41" t="s">
        <v>117</v>
      </c>
      <c r="AJ35" s="42" t="s">
        <v>42</v>
      </c>
      <c r="AK35" s="127"/>
      <c r="AL35" s="171" t="s">
        <v>91</v>
      </c>
      <c r="AM35" s="73">
        <f>INDEX(Tier_67,MATCH($AI$35,T_67,0)+1+ROWS(AM$35:AM35),COLUMNS($AM35:AM35))</f>
        <v>2</v>
      </c>
      <c r="AN35" s="76">
        <f>INDEX(Tier_67,MATCH($AI$35,T_67,0)+1+ROWS(AN$35:AN35),COLUMNS($AM35:AN35))</f>
        <v>10</v>
      </c>
      <c r="AO35" s="74">
        <f>INDEX(Tier_67,MATCH($AI$35,T_67,0)+1+ROWS(AO$35:AO35),COLUMNS($AM35:AO35))</f>
        <v>0</v>
      </c>
      <c r="AP35" s="75">
        <f>INDEX(Tier_67,MATCH($AI$35,T_67,0)+1+ROWS(AP$35:AP35),COLUMNS($AM35:AP35))</f>
        <v>0</v>
      </c>
      <c r="AQ35" s="73">
        <f>INDEX(Tier_67,MATCH($AI$35,T_67,0)+1+ROWS(AQ$35:AQ35),COLUMNS($AM35:AQ35))</f>
        <v>2</v>
      </c>
      <c r="AR35" s="76">
        <f>INDEX(Tier_67,MATCH($AI$35,T_67,0)+1+ROWS(AR$35:AR35),COLUMNS($AM35:AR35))</f>
        <v>10</v>
      </c>
      <c r="AS35" s="74">
        <f>INDEX(Tier_67,MATCH($AI$35,T_67,0)+1+ROWS(AS$35:AS35),COLUMNS($AM35:AS35))</f>
        <v>0</v>
      </c>
      <c r="AT35" s="75">
        <f>INDEX(Tier_67,MATCH($AI$35,T_67,0)+1+ROWS(AT$35:AT35),COLUMNS($AM35:AT35))</f>
        <v>0</v>
      </c>
      <c r="AU35" s="73">
        <f>INDEX(Tier_67,MATCH($AI$35,T_67,0)+1+ROWS(AU$35:AU35),COLUMNS($AM35:AU35))</f>
        <v>2</v>
      </c>
      <c r="AV35" s="76">
        <f>INDEX(Tier_67,MATCH($AI$35,T_67,0)+1+ROWS(AV$35:AV35),COLUMNS($AM35:AV35))</f>
        <v>10</v>
      </c>
      <c r="AW35" s="74">
        <f>INDEX(Tier_67,MATCH($AI$35,T_67,0)+1+ROWS(AW$35:AW35),COLUMNS($AM35:AW35))</f>
        <v>0</v>
      </c>
      <c r="AX35" s="75">
        <f>INDEX(Tier_67,MATCH($AI$35,T_67,0)+1+ROWS(AX$35:AX35),COLUMNS($AM35:AX35))</f>
        <v>0</v>
      </c>
    </row>
    <row r="36" spans="1:50" ht="48" customHeight="1" thickBot="1" x14ac:dyDescent="0.25">
      <c r="A36" s="11"/>
      <c r="B36" s="10"/>
      <c r="C36" s="128"/>
      <c r="D36" s="120"/>
      <c r="E36" s="77"/>
      <c r="F36" s="78"/>
      <c r="G36" s="79"/>
      <c r="H36" s="80"/>
      <c r="I36" s="77"/>
      <c r="J36" s="78"/>
      <c r="K36" s="79"/>
      <c r="L36" s="80"/>
      <c r="M36" s="77"/>
      <c r="N36" s="78"/>
      <c r="O36" s="79"/>
      <c r="P36" s="80"/>
      <c r="Q36" s="40"/>
      <c r="R36" s="40"/>
      <c r="S36" s="68"/>
      <c r="T36" s="128"/>
      <c r="U36" s="120"/>
      <c r="V36" s="77"/>
      <c r="W36" s="78"/>
      <c r="X36" s="79"/>
      <c r="Y36" s="80"/>
      <c r="Z36" s="77"/>
      <c r="AA36" s="78"/>
      <c r="AB36" s="79"/>
      <c r="AC36" s="80"/>
      <c r="AD36" s="77"/>
      <c r="AE36" s="78"/>
      <c r="AF36" s="79"/>
      <c r="AG36" s="80"/>
      <c r="AH36" s="40"/>
      <c r="AI36" s="40"/>
      <c r="AJ36" s="68"/>
      <c r="AK36" s="128"/>
      <c r="AL36" s="172"/>
      <c r="AM36" s="77"/>
      <c r="AN36" s="78"/>
      <c r="AO36" s="79"/>
      <c r="AP36" s="80"/>
      <c r="AQ36" s="77"/>
      <c r="AR36" s="78"/>
      <c r="AS36" s="79"/>
      <c r="AT36" s="80"/>
      <c r="AU36" s="77"/>
      <c r="AV36" s="78"/>
      <c r="AW36" s="79"/>
      <c r="AX36" s="80"/>
    </row>
    <row r="37" spans="1:50" ht="24.75" customHeight="1" thickBot="1" x14ac:dyDescent="0.25">
      <c r="A37" s="11"/>
      <c r="B37" s="12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2"/>
    </row>
    <row r="38" spans="1:50" ht="40" customHeight="1" x14ac:dyDescent="0.2">
      <c r="A38" s="26"/>
      <c r="B38" s="22"/>
      <c r="C38" s="162" t="s">
        <v>119</v>
      </c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4"/>
      <c r="Q38" s="81"/>
      <c r="R38" s="81"/>
      <c r="S38" s="81"/>
      <c r="T38" s="162" t="s">
        <v>119</v>
      </c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4"/>
      <c r="AH38" s="81"/>
      <c r="AI38" s="81"/>
      <c r="AJ38" s="81"/>
      <c r="AK38" s="162" t="s">
        <v>119</v>
      </c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4"/>
    </row>
    <row r="39" spans="1:50" ht="40" customHeight="1" x14ac:dyDescent="0.2">
      <c r="A39" s="26"/>
      <c r="B39" s="22"/>
      <c r="C39" s="174" t="s">
        <v>120</v>
      </c>
      <c r="D39" s="174"/>
      <c r="E39" s="174"/>
      <c r="F39" s="174"/>
      <c r="G39" s="174"/>
      <c r="H39" s="174"/>
      <c r="I39" s="174"/>
      <c r="J39" s="174"/>
      <c r="K39" s="174"/>
      <c r="L39" s="174"/>
      <c r="M39" s="174"/>
      <c r="N39" s="174"/>
      <c r="O39" s="174"/>
      <c r="P39" s="175"/>
      <c r="Q39" s="81"/>
      <c r="R39" s="81"/>
      <c r="S39" s="81"/>
      <c r="T39" s="174" t="s">
        <v>120</v>
      </c>
      <c r="U39" s="174"/>
      <c r="V39" s="174"/>
      <c r="W39" s="174"/>
      <c r="X39" s="174"/>
      <c r="Y39" s="174"/>
      <c r="Z39" s="174"/>
      <c r="AA39" s="174"/>
      <c r="AB39" s="174"/>
      <c r="AC39" s="174"/>
      <c r="AD39" s="174"/>
      <c r="AE39" s="174"/>
      <c r="AF39" s="174"/>
      <c r="AG39" s="175"/>
      <c r="AH39" s="81"/>
      <c r="AI39" s="81"/>
      <c r="AJ39" s="81"/>
      <c r="AK39" s="174" t="s">
        <v>120</v>
      </c>
      <c r="AL39" s="174"/>
      <c r="AM39" s="174"/>
      <c r="AN39" s="174"/>
      <c r="AO39" s="174"/>
      <c r="AP39" s="174"/>
      <c r="AQ39" s="174"/>
      <c r="AR39" s="174"/>
      <c r="AS39" s="174"/>
      <c r="AT39" s="174"/>
      <c r="AU39" s="174"/>
      <c r="AV39" s="174"/>
      <c r="AW39" s="174"/>
      <c r="AX39" s="175"/>
    </row>
    <row r="40" spans="1:50" ht="40" customHeight="1" x14ac:dyDescent="0.2">
      <c r="A40" s="26"/>
      <c r="B40" s="22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4"/>
      <c r="P40" s="175"/>
      <c r="Q40" s="81"/>
      <c r="R40" s="81"/>
      <c r="S40" s="81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  <c r="AD40" s="174"/>
      <c r="AE40" s="174"/>
      <c r="AF40" s="174"/>
      <c r="AG40" s="175"/>
      <c r="AH40" s="81"/>
      <c r="AI40" s="81"/>
      <c r="AJ40" s="81"/>
      <c r="AK40" s="174"/>
      <c r="AL40" s="174"/>
      <c r="AM40" s="174"/>
      <c r="AN40" s="174"/>
      <c r="AO40" s="174"/>
      <c r="AP40" s="174"/>
      <c r="AQ40" s="174"/>
      <c r="AR40" s="174"/>
      <c r="AS40" s="174"/>
      <c r="AT40" s="174"/>
      <c r="AU40" s="174"/>
      <c r="AV40" s="174"/>
      <c r="AW40" s="174"/>
      <c r="AX40" s="175"/>
    </row>
    <row r="41" spans="1:50" ht="40" customHeight="1" x14ac:dyDescent="0.2">
      <c r="A41" s="26"/>
      <c r="B41" s="22"/>
      <c r="C41" s="174"/>
      <c r="D41" s="174"/>
      <c r="E41" s="174"/>
      <c r="F41" s="174"/>
      <c r="G41" s="174"/>
      <c r="H41" s="174"/>
      <c r="I41" s="174"/>
      <c r="J41" s="174"/>
      <c r="K41" s="174"/>
      <c r="L41" s="174"/>
      <c r="M41" s="174"/>
      <c r="N41" s="174"/>
      <c r="O41" s="174"/>
      <c r="P41" s="175"/>
      <c r="Q41" s="81"/>
      <c r="R41" s="81"/>
      <c r="S41" s="81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  <c r="AD41" s="174"/>
      <c r="AE41" s="174"/>
      <c r="AF41" s="174"/>
      <c r="AG41" s="175"/>
      <c r="AH41" s="81"/>
      <c r="AI41" s="81"/>
      <c r="AJ41" s="81"/>
      <c r="AK41" s="174"/>
      <c r="AL41" s="174"/>
      <c r="AM41" s="174"/>
      <c r="AN41" s="174"/>
      <c r="AO41" s="174"/>
      <c r="AP41" s="174"/>
      <c r="AQ41" s="174"/>
      <c r="AR41" s="174"/>
      <c r="AS41" s="174"/>
      <c r="AT41" s="174"/>
      <c r="AU41" s="174"/>
      <c r="AV41" s="174"/>
      <c r="AW41" s="174"/>
      <c r="AX41" s="175"/>
    </row>
    <row r="42" spans="1:50" ht="40" customHeight="1" thickBot="1" x14ac:dyDescent="0.25">
      <c r="A42" s="27"/>
      <c r="B42" s="28"/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7"/>
      <c r="Q42" s="83"/>
      <c r="R42" s="83"/>
      <c r="S42" s="83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177"/>
      <c r="AH42" s="83"/>
      <c r="AI42" s="83"/>
      <c r="AJ42" s="83"/>
      <c r="AK42" s="176"/>
      <c r="AL42" s="176"/>
      <c r="AM42" s="176"/>
      <c r="AN42" s="176"/>
      <c r="AO42" s="176"/>
      <c r="AP42" s="176"/>
      <c r="AQ42" s="176"/>
      <c r="AR42" s="176"/>
      <c r="AS42" s="176"/>
      <c r="AT42" s="176"/>
      <c r="AU42" s="176"/>
      <c r="AV42" s="176"/>
      <c r="AW42" s="176"/>
      <c r="AX42" s="177"/>
    </row>
    <row r="43" spans="1:50" ht="40" customHeight="1" x14ac:dyDescent="0.2">
      <c r="A43" s="26"/>
      <c r="B43" s="22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</row>
    <row r="44" spans="1:50" ht="40" customHeight="1" x14ac:dyDescent="0.2">
      <c r="A44" s="26"/>
      <c r="B44" s="22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</row>
    <row r="45" spans="1:50" ht="40" customHeight="1" thickBot="1" x14ac:dyDescent="0.25">
      <c r="A45" s="27"/>
      <c r="B45" s="28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</row>
  </sheetData>
  <mergeCells count="80">
    <mergeCell ref="AK38:AX38"/>
    <mergeCell ref="C39:P42"/>
    <mergeCell ref="T39:AG42"/>
    <mergeCell ref="AK39:AX42"/>
    <mergeCell ref="C38:P38"/>
    <mergeCell ref="T38:AG38"/>
    <mergeCell ref="D33:D34"/>
    <mergeCell ref="D35:D36"/>
    <mergeCell ref="C8:C9"/>
    <mergeCell ref="E8:H8"/>
    <mergeCell ref="I8:L8"/>
    <mergeCell ref="D31:D32"/>
    <mergeCell ref="D10:D13"/>
    <mergeCell ref="C25:C30"/>
    <mergeCell ref="C31:C36"/>
    <mergeCell ref="C10:C15"/>
    <mergeCell ref="C16:C20"/>
    <mergeCell ref="C21:C24"/>
    <mergeCell ref="D25:D26"/>
    <mergeCell ref="U16:U19"/>
    <mergeCell ref="T8:T9"/>
    <mergeCell ref="V8:Y8"/>
    <mergeCell ref="Z8:AC8"/>
    <mergeCell ref="D28:D29"/>
    <mergeCell ref="D16:D19"/>
    <mergeCell ref="D21:D24"/>
    <mergeCell ref="AK21:AK24"/>
    <mergeCell ref="AK25:AK30"/>
    <mergeCell ref="AL25:AL27"/>
    <mergeCell ref="AL28:AL30"/>
    <mergeCell ref="AL21:AL23"/>
    <mergeCell ref="AQ8:AT8"/>
    <mergeCell ref="AL31:AL32"/>
    <mergeCell ref="AL33:AL34"/>
    <mergeCell ref="AU8:AX8"/>
    <mergeCell ref="AL35:AL36"/>
    <mergeCell ref="AL16:AL19"/>
    <mergeCell ref="AK10:AK15"/>
    <mergeCell ref="AL10:AL13"/>
    <mergeCell ref="AK8:AK9"/>
    <mergeCell ref="I1:P2"/>
    <mergeCell ref="I3:P6"/>
    <mergeCell ref="T1:AG6"/>
    <mergeCell ref="M8:P8"/>
    <mergeCell ref="AD8:AG8"/>
    <mergeCell ref="T10:T15"/>
    <mergeCell ref="U10:U13"/>
    <mergeCell ref="AK1:AX1"/>
    <mergeCell ref="AK2:AL6"/>
    <mergeCell ref="AN2:AP6"/>
    <mergeCell ref="AR2:AT6"/>
    <mergeCell ref="AV2:AX6"/>
    <mergeCell ref="AM8:AP8"/>
    <mergeCell ref="U35:U36"/>
    <mergeCell ref="AK16:AK20"/>
    <mergeCell ref="E5:E6"/>
    <mergeCell ref="F5:F6"/>
    <mergeCell ref="G5:G6"/>
    <mergeCell ref="H5:H6"/>
    <mergeCell ref="AK31:AK36"/>
    <mergeCell ref="T31:T36"/>
    <mergeCell ref="U31:U32"/>
    <mergeCell ref="U33:U34"/>
    <mergeCell ref="T21:T24"/>
    <mergeCell ref="U21:U24"/>
    <mergeCell ref="T25:T30"/>
    <mergeCell ref="U25:U26"/>
    <mergeCell ref="U28:U29"/>
    <mergeCell ref="T16:T20"/>
    <mergeCell ref="C5:D6"/>
    <mergeCell ref="H1:H2"/>
    <mergeCell ref="G1:G2"/>
    <mergeCell ref="F1:F2"/>
    <mergeCell ref="E1:E2"/>
    <mergeCell ref="C1:D2"/>
    <mergeCell ref="C3:D4"/>
    <mergeCell ref="E3:E4"/>
    <mergeCell ref="H3:H4"/>
    <mergeCell ref="G3:G4"/>
    <mergeCell ref="F3:F4"/>
  </mergeCells>
  <dataValidations count="29">
    <dataValidation type="list" allowBlank="1" showInputMessage="1" showErrorMessage="1" sqref="A10 A16 R10 R16 AI10 AI16" xr:uid="{00000000-0002-0000-0000-000000000000}">
      <formula1>Tier_12_Names</formula1>
    </dataValidation>
    <dataValidation type="list" allowBlank="1" showInputMessage="1" showErrorMessage="1" sqref="A21 R21 AI21" xr:uid="{00000000-0002-0000-0000-000001000000}">
      <formula1>Tier_3_Names</formula1>
    </dataValidation>
    <dataValidation type="list" allowBlank="1" showInputMessage="1" showErrorMessage="1" sqref="A25 A28 R25 R28 AI25 AI28" xr:uid="{00000000-0002-0000-0000-000002000000}">
      <formula1>Tier_45_Names</formula1>
    </dataValidation>
    <dataValidation type="list" allowBlank="1" showInputMessage="1" showErrorMessage="1" sqref="A31 A33 A35 R31 R33 R35 AI31 AI33 AI35" xr:uid="{00000000-0002-0000-0000-000003000000}">
      <formula1>Tier_67_Names</formula1>
    </dataValidation>
    <dataValidation type="list" allowBlank="1" showInputMessage="1" showErrorMessage="1" sqref="B10 B16 B21 B25 B28 B31 B33 B35 S10 S16 S21 S25 S28 S31 S33 S35 AJ10 AJ16 AJ21 AJ25 AJ28 AJ31 AJ33 AJ35" xr:uid="{00000000-0002-0000-0000-000004000000}">
      <formula1>Catagories</formula1>
    </dataValidation>
    <dataValidation type="list" allowBlank="1" showInputMessage="1" showErrorMessage="1" sqref="D10 U10" xr:uid="{00000000-0002-0000-0000-000005000000}">
      <formula1>INDIRECT(B10)</formula1>
    </dataValidation>
    <dataValidation type="list" allowBlank="1" showInputMessage="1" showErrorMessage="1" sqref="D16" xr:uid="{00000000-0002-0000-0000-000006000000}">
      <formula1>INDIRECT($B$16)</formula1>
    </dataValidation>
    <dataValidation type="list" allowBlank="1" showInputMessage="1" showErrorMessage="1" sqref="D21:D24" xr:uid="{00000000-0002-0000-0000-000007000000}">
      <formula1>INDIRECT($B$21)</formula1>
    </dataValidation>
    <dataValidation type="list" allowBlank="1" showInputMessage="1" showErrorMessage="1" sqref="U25" xr:uid="{00000000-0002-0000-0000-000008000000}">
      <formula1>INDIRECT($S$25)</formula1>
    </dataValidation>
    <dataValidation type="list" allowBlank="1" showInputMessage="1" showErrorMessage="1" sqref="U33:U34" xr:uid="{00000000-0002-0000-0000-000009000000}">
      <formula1>INDIRECT($S$33)</formula1>
    </dataValidation>
    <dataValidation type="list" allowBlank="1" showInputMessage="1" showErrorMessage="1" sqref="U28" xr:uid="{00000000-0002-0000-0000-00000A000000}">
      <formula1>INDIRECT($S$28)</formula1>
    </dataValidation>
    <dataValidation type="list" allowBlank="1" showInputMessage="1" showErrorMessage="1" sqref="U31:U32" xr:uid="{00000000-0002-0000-0000-00000B000000}">
      <formula1>INDIRECT($S$31)</formula1>
    </dataValidation>
    <dataValidation type="list" allowBlank="1" showInputMessage="1" showErrorMessage="1" sqref="U35:U36" xr:uid="{00000000-0002-0000-0000-00000C000000}">
      <formula1>INDIRECT($S$35)</formula1>
    </dataValidation>
    <dataValidation type="list" allowBlank="1" showInputMessage="1" showErrorMessage="1" sqref="U16:U19" xr:uid="{00000000-0002-0000-0000-00000D000000}">
      <formula1>INDIRECT($S$16)</formula1>
    </dataValidation>
    <dataValidation type="list" allowBlank="1" showInputMessage="1" showErrorMessage="1" sqref="U21:U24" xr:uid="{00000000-0002-0000-0000-00000E000000}">
      <formula1>INDIRECT($S$21)</formula1>
    </dataValidation>
    <dataValidation type="list" allowBlank="1" showInputMessage="1" showErrorMessage="1" sqref="D25" xr:uid="{00000000-0002-0000-0000-00000F000000}">
      <formula1>INDIRECT($B$25)</formula1>
    </dataValidation>
    <dataValidation type="list" allowBlank="1" showInputMessage="1" showErrorMessage="1" sqref="D31:D32" xr:uid="{00000000-0002-0000-0000-000010000000}">
      <formula1>INDIRECT($B$31)</formula1>
    </dataValidation>
    <dataValidation type="list" allowBlank="1" showInputMessage="1" showErrorMessage="1" sqref="D35:D36" xr:uid="{00000000-0002-0000-0000-000011000000}">
      <formula1>INDIRECT($B$35)</formula1>
    </dataValidation>
    <dataValidation type="list" allowBlank="1" showInputMessage="1" showErrorMessage="1" sqref="AL10:AL13" xr:uid="{00000000-0002-0000-0000-000012000000}">
      <formula1>INDIRECT($AJ$10)</formula1>
    </dataValidation>
    <dataValidation type="list" allowBlank="1" showInputMessage="1" showErrorMessage="1" sqref="AL16:AL19" xr:uid="{00000000-0002-0000-0000-000013000000}">
      <formula1>INDIRECT($AJ$16)</formula1>
    </dataValidation>
    <dataValidation type="list" allowBlank="1" showInputMessage="1" showErrorMessage="1" sqref="AL21" xr:uid="{00000000-0002-0000-0000-000014000000}">
      <formula1>INDIRECT($AJ$21)</formula1>
    </dataValidation>
    <dataValidation type="list" allowBlank="1" showInputMessage="1" showErrorMessage="1" sqref="AL25:AL27" xr:uid="{00000000-0002-0000-0000-000015000000}">
      <formula1>INDIRECT($AJ$25)</formula1>
    </dataValidation>
    <dataValidation type="list" allowBlank="1" showInputMessage="1" showErrorMessage="1" sqref="AL28:AL30" xr:uid="{00000000-0002-0000-0000-000016000000}">
      <formula1>INDIRECT($AJ$28)</formula1>
    </dataValidation>
    <dataValidation type="list" allowBlank="1" showInputMessage="1" showErrorMessage="1" sqref="AL31:AL32" xr:uid="{00000000-0002-0000-0000-000017000000}">
      <formula1>INDIRECT($AJ$31)</formula1>
    </dataValidation>
    <dataValidation type="list" allowBlank="1" showInputMessage="1" showErrorMessage="1" sqref="AL33:AL34" xr:uid="{00000000-0002-0000-0000-000018000000}">
      <formula1>INDIRECT($AJ$33)</formula1>
    </dataValidation>
    <dataValidation type="list" allowBlank="1" showInputMessage="1" showErrorMessage="1" sqref="AL35:AL36" xr:uid="{00000000-0002-0000-0000-000019000000}">
      <formula1>INDIRECT($AJ$35)</formula1>
    </dataValidation>
    <dataValidation type="list" allowBlank="1" showInputMessage="1" showErrorMessage="1" sqref="D28:D29" xr:uid="{00000000-0002-0000-0000-00001A000000}">
      <formula1>INDIRECT($B$28)</formula1>
    </dataValidation>
    <dataValidation type="list" allowBlank="1" showInputMessage="1" showErrorMessage="1" sqref="D33:D34" xr:uid="{00000000-0002-0000-0000-00001B000000}">
      <formula1>INDIRECT($B$33)</formula1>
    </dataValidation>
    <dataValidation type="list" allowBlank="1" showInputMessage="1" showErrorMessage="1" sqref="T1:AG6" xr:uid="{00000000-0002-0000-0000-00001C000000}">
      <formula1>Athletes</formula1>
    </dataValidation>
  </dataValidations>
  <printOptions horizontalCentered="1"/>
  <pageMargins left="0" right="0" top="0" bottom="0" header="0.3" footer="0.3"/>
  <pageSetup scale="2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45"/>
  <sheetViews>
    <sheetView view="pageBreakPreview" topLeftCell="C1" zoomScale="55" zoomScaleNormal="40" zoomScaleSheetLayoutView="55" workbookViewId="0">
      <selection activeCell="G9" sqref="G9:G10"/>
    </sheetView>
  </sheetViews>
  <sheetFormatPr baseColWidth="10" defaultColWidth="8.83203125" defaultRowHeight="15" outlineLevelRow="2" outlineLevelCol="1" x14ac:dyDescent="0.2"/>
  <cols>
    <col min="1" max="1" width="20.1640625" hidden="1" customWidth="1" outlineLevel="1"/>
    <col min="2" max="2" width="12.1640625" hidden="1" customWidth="1" outlineLevel="1"/>
    <col min="3" max="3" width="8.6640625" customWidth="1" collapsed="1"/>
    <col min="4" max="4" width="21.6640625" customWidth="1"/>
    <col min="5" max="16" width="9.6640625" customWidth="1"/>
    <col min="17" max="17" width="1.6640625" customWidth="1"/>
    <col min="18" max="18" width="21.33203125" hidden="1" customWidth="1" outlineLevel="1"/>
    <col min="19" max="19" width="12.1640625" hidden="1" customWidth="1" outlineLevel="1"/>
    <col min="20" max="20" width="8.6640625" customWidth="1" collapsed="1"/>
    <col min="21" max="21" width="21.6640625" customWidth="1"/>
    <col min="22" max="33" width="9.6640625" customWidth="1"/>
    <col min="34" max="34" width="1.6640625" customWidth="1"/>
    <col min="35" max="35" width="21.33203125" customWidth="1" outlineLevel="1"/>
    <col min="36" max="36" width="12.1640625" customWidth="1" outlineLevel="1"/>
    <col min="37" max="37" width="8.6640625" customWidth="1"/>
    <col min="38" max="38" width="21.6640625" customWidth="1"/>
    <col min="39" max="50" width="9.6640625" customWidth="1"/>
  </cols>
  <sheetData>
    <row r="1" spans="1:33" ht="15" customHeight="1" x14ac:dyDescent="0.2">
      <c r="A1" s="9"/>
      <c r="B1" s="14"/>
      <c r="C1" s="151" t="s">
        <v>147</v>
      </c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4"/>
      <c r="R1" s="14"/>
      <c r="S1" s="14"/>
      <c r="T1" s="178" t="s">
        <v>126</v>
      </c>
      <c r="U1" s="116"/>
      <c r="V1" s="114" t="s">
        <v>127</v>
      </c>
      <c r="W1" s="114" t="s">
        <v>131</v>
      </c>
      <c r="X1" s="114" t="s">
        <v>132</v>
      </c>
      <c r="Y1" s="114" t="s">
        <v>128</v>
      </c>
      <c r="Z1" s="116" t="s">
        <v>0</v>
      </c>
      <c r="AA1" s="116"/>
      <c r="AB1" s="116"/>
      <c r="AC1" s="116"/>
      <c r="AD1" s="116"/>
      <c r="AE1" s="116"/>
      <c r="AF1" s="116"/>
      <c r="AG1" s="179"/>
    </row>
    <row r="2" spans="1:33" ht="50" customHeight="1" thickBot="1" x14ac:dyDescent="0.25">
      <c r="A2" s="11"/>
      <c r="B2" s="12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2"/>
      <c r="R2" s="12"/>
      <c r="S2" s="12"/>
      <c r="T2" s="110"/>
      <c r="U2" s="111"/>
      <c r="V2" s="115"/>
      <c r="W2" s="115"/>
      <c r="X2" s="115"/>
      <c r="Y2" s="115"/>
      <c r="Z2" s="111"/>
      <c r="AA2" s="111"/>
      <c r="AB2" s="111"/>
      <c r="AC2" s="111"/>
      <c r="AD2" s="111"/>
      <c r="AE2" s="111"/>
      <c r="AF2" s="111"/>
      <c r="AG2" s="180"/>
    </row>
    <row r="3" spans="1:33" ht="50" customHeight="1" x14ac:dyDescent="0.2">
      <c r="A3" s="11"/>
      <c r="B3" s="12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2"/>
      <c r="R3" s="12"/>
      <c r="S3" s="12"/>
      <c r="T3" s="110" t="s">
        <v>129</v>
      </c>
      <c r="U3" s="111"/>
      <c r="V3" s="117">
        <f>VLOOKUP($C$1,Athlete_Max,2,FALSE)</f>
        <v>135</v>
      </c>
      <c r="W3" s="117">
        <f>VLOOKUP($C$1,Athlete_Max,3,FALSE)</f>
        <v>115</v>
      </c>
      <c r="X3" s="117">
        <f>VLOOKUP($C$1,Athlete_Max,4,FALSE)</f>
        <v>85</v>
      </c>
      <c r="Y3" s="117">
        <f>VLOOKUP($C$1,Athlete_Max,5,FALSE)</f>
        <v>95</v>
      </c>
      <c r="Z3" s="141">
        <v>1</v>
      </c>
      <c r="AA3" s="142"/>
      <c r="AB3" s="142"/>
      <c r="AC3" s="142"/>
      <c r="AD3" s="142"/>
      <c r="AE3" s="142"/>
      <c r="AF3" s="142"/>
      <c r="AG3" s="143"/>
    </row>
    <row r="4" spans="1:33" ht="50" customHeight="1" x14ac:dyDescent="0.2">
      <c r="A4" s="11"/>
      <c r="B4" s="12"/>
      <c r="C4" s="154"/>
      <c r="D4" s="154"/>
      <c r="E4" s="154"/>
      <c r="F4" s="154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2"/>
      <c r="R4" s="12"/>
      <c r="S4" s="12"/>
      <c r="T4" s="110"/>
      <c r="U4" s="111"/>
      <c r="V4" s="118"/>
      <c r="W4" s="118"/>
      <c r="X4" s="118"/>
      <c r="Y4" s="118"/>
      <c r="Z4" s="144"/>
      <c r="AA4" s="145"/>
      <c r="AB4" s="145"/>
      <c r="AC4" s="145"/>
      <c r="AD4" s="145"/>
      <c r="AE4" s="145"/>
      <c r="AF4" s="145"/>
      <c r="AG4" s="146"/>
    </row>
    <row r="5" spans="1:33" ht="50" customHeight="1" x14ac:dyDescent="0.2">
      <c r="A5" s="11"/>
      <c r="B5" s="12"/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2"/>
      <c r="R5" s="12"/>
      <c r="S5" s="12"/>
      <c r="T5" s="110" t="s">
        <v>130</v>
      </c>
      <c r="U5" s="111"/>
      <c r="V5" s="122">
        <f>CEILING(V3*$Z$3,5)</f>
        <v>135</v>
      </c>
      <c r="W5" s="122">
        <f>CEILING(W3*$Z$3,5)</f>
        <v>115</v>
      </c>
      <c r="X5" s="122">
        <f>CEILING(X3*$Z$3,5)</f>
        <v>85</v>
      </c>
      <c r="Y5" s="124">
        <f>CEILING(Y3*$Z$3,5)</f>
        <v>95</v>
      </c>
      <c r="Z5" s="144"/>
      <c r="AA5" s="145"/>
      <c r="AB5" s="145"/>
      <c r="AC5" s="145"/>
      <c r="AD5" s="145"/>
      <c r="AE5" s="145"/>
      <c r="AF5" s="145"/>
      <c r="AG5" s="146"/>
    </row>
    <row r="6" spans="1:33" ht="50" customHeight="1" thickBot="1" x14ac:dyDescent="0.25">
      <c r="A6" s="11"/>
      <c r="B6" s="12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2"/>
      <c r="R6" s="12"/>
      <c r="S6" s="12"/>
      <c r="T6" s="112"/>
      <c r="U6" s="113"/>
      <c r="V6" s="123"/>
      <c r="W6" s="123"/>
      <c r="X6" s="123"/>
      <c r="Y6" s="125"/>
      <c r="Z6" s="147"/>
      <c r="AA6" s="148"/>
      <c r="AB6" s="148"/>
      <c r="AC6" s="148"/>
      <c r="AD6" s="148"/>
      <c r="AE6" s="148"/>
      <c r="AF6" s="148"/>
      <c r="AG6" s="149"/>
    </row>
    <row r="7" spans="1:33" ht="40" customHeight="1" thickBot="1" x14ac:dyDescent="0.25">
      <c r="A7" s="11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3"/>
    </row>
    <row r="8" spans="1:33" ht="55" customHeight="1" thickBot="1" x14ac:dyDescent="0.45">
      <c r="A8" s="11"/>
      <c r="B8" s="12"/>
      <c r="C8" s="139" t="s">
        <v>39</v>
      </c>
      <c r="D8" s="29"/>
      <c r="E8" s="159" t="s">
        <v>3</v>
      </c>
      <c r="F8" s="160"/>
      <c r="G8" s="160"/>
      <c r="H8" s="161"/>
      <c r="I8" s="159" t="s">
        <v>4</v>
      </c>
      <c r="J8" s="160"/>
      <c r="K8" s="160"/>
      <c r="L8" s="161"/>
      <c r="M8" s="159" t="s">
        <v>5</v>
      </c>
      <c r="N8" s="160"/>
      <c r="O8" s="160"/>
      <c r="P8" s="161"/>
      <c r="Q8" s="31"/>
      <c r="R8" s="31"/>
      <c r="S8" s="31"/>
      <c r="T8" s="139" t="s">
        <v>39</v>
      </c>
      <c r="U8" s="29"/>
      <c r="V8" s="159" t="s">
        <v>3</v>
      </c>
      <c r="W8" s="160"/>
      <c r="X8" s="160"/>
      <c r="Y8" s="161"/>
      <c r="Z8" s="159" t="s">
        <v>4</v>
      </c>
      <c r="AA8" s="160"/>
      <c r="AB8" s="160"/>
      <c r="AC8" s="161"/>
      <c r="AD8" s="159" t="s">
        <v>5</v>
      </c>
      <c r="AE8" s="160"/>
      <c r="AF8" s="160"/>
      <c r="AG8" s="161"/>
    </row>
    <row r="9" spans="1:33" ht="55" customHeight="1" thickBot="1" x14ac:dyDescent="0.45">
      <c r="A9" s="11"/>
      <c r="B9" s="12"/>
      <c r="C9" s="140"/>
      <c r="D9" s="84" t="s">
        <v>38</v>
      </c>
      <c r="E9" s="85" t="s">
        <v>1</v>
      </c>
      <c r="F9" s="86" t="s">
        <v>2</v>
      </c>
      <c r="G9" s="86" t="s">
        <v>0</v>
      </c>
      <c r="H9" s="87" t="s">
        <v>40</v>
      </c>
      <c r="I9" s="85" t="s">
        <v>1</v>
      </c>
      <c r="J9" s="86" t="s">
        <v>2</v>
      </c>
      <c r="K9" s="87" t="s">
        <v>0</v>
      </c>
      <c r="L9" s="87" t="s">
        <v>40</v>
      </c>
      <c r="M9" s="88" t="s">
        <v>1</v>
      </c>
      <c r="N9" s="89" t="s">
        <v>2</v>
      </c>
      <c r="O9" s="90" t="s">
        <v>0</v>
      </c>
      <c r="P9" s="90" t="s">
        <v>40</v>
      </c>
      <c r="Q9" s="31"/>
      <c r="R9" s="31"/>
      <c r="S9" s="31"/>
      <c r="T9" s="140"/>
      <c r="U9" s="84" t="s">
        <v>38</v>
      </c>
      <c r="V9" s="85" t="s">
        <v>1</v>
      </c>
      <c r="W9" s="86" t="s">
        <v>2</v>
      </c>
      <c r="X9" s="86" t="s">
        <v>0</v>
      </c>
      <c r="Y9" s="87" t="s">
        <v>40</v>
      </c>
      <c r="Z9" s="85" t="s">
        <v>1</v>
      </c>
      <c r="AA9" s="86" t="s">
        <v>2</v>
      </c>
      <c r="AB9" s="87" t="s">
        <v>0</v>
      </c>
      <c r="AC9" s="87" t="s">
        <v>40</v>
      </c>
      <c r="AD9" s="88" t="s">
        <v>1</v>
      </c>
      <c r="AE9" s="89" t="s">
        <v>2</v>
      </c>
      <c r="AF9" s="90" t="s">
        <v>0</v>
      </c>
      <c r="AG9" s="90" t="s">
        <v>40</v>
      </c>
    </row>
    <row r="10" spans="1:33" ht="55" customHeight="1" x14ac:dyDescent="0.2">
      <c r="A10" s="23" t="s">
        <v>28</v>
      </c>
      <c r="B10" s="24" t="s">
        <v>101</v>
      </c>
      <c r="C10" s="129" t="s">
        <v>137</v>
      </c>
      <c r="D10" s="131" t="s">
        <v>46</v>
      </c>
      <c r="E10" s="35">
        <f>INDEX(Tier_12,MATCH($A$10,T_12,0)+1+ROWS(E$10:E10),COLUMNS($E10:E10))</f>
        <v>5</v>
      </c>
      <c r="F10" s="36">
        <f>INDEX(Tier_12,MATCH($A$10,T_12,0)+1+ROWS(F$10:F10),COLUMNS($E10:F10))</f>
        <v>3</v>
      </c>
      <c r="G10" s="107" t="str">
        <f>INDEX(Tier_12,MATCH($A$10,T_12,0)+1+ROWS(G$10:G10),COLUMNS($E10:G10))</f>
        <v>Fast</v>
      </c>
      <c r="H10" s="38">
        <f>INDEX(Tier_12,MATCH($A$10,T_12,0)+1+ROWS(H$10:H10),COLUMNS($E10:H10))</f>
        <v>0</v>
      </c>
      <c r="I10" s="35">
        <f>INDEX(Tier_12,MATCH($A$10,T_12,0)+1+ROWS(I$10:I10),COLUMNS($E10:I10))</f>
        <v>6</v>
      </c>
      <c r="J10" s="36">
        <f>INDEX(Tier_12,MATCH($A$10,T_12,0)+1+ROWS(J$10:J10),COLUMNS($E10:J10))</f>
        <v>2</v>
      </c>
      <c r="K10" s="107" t="str">
        <f>INDEX(Tier_12,MATCH($A$10,T_12,0)+1+ROWS(K$10:K10),COLUMNS($E10:K10))</f>
        <v>Moderate</v>
      </c>
      <c r="L10" s="38">
        <f>INDEX(Tier_12,MATCH($A$10,T_12,0)+1+ROWS(L$10:L10),COLUMNS($E10:L10))</f>
        <v>0</v>
      </c>
      <c r="M10" s="35">
        <f>INDEX(Tier_12,MATCH($A$10,T_12,0)+1+ROWS(M$10:M10),COLUMNS($E10:M10))</f>
        <v>6</v>
      </c>
      <c r="N10" s="36">
        <f>INDEX(Tier_12,MATCH($A$10,T_12,0)+1+ROWS(N$10:N10),COLUMNS($E10:N10))</f>
        <v>1</v>
      </c>
      <c r="O10" s="107" t="str">
        <f>INDEX(Tier_12,MATCH($A$10,T_12,0)+1+ROWS(O$10:O10),COLUMNS($E10:O10))</f>
        <v>Heavy</v>
      </c>
      <c r="P10" s="39">
        <f>INDEX(Tier_12,MATCH($A$10,T_12,0)+1+ROWS(P$10:P10),COLUMNS($E10:P10))</f>
        <v>0</v>
      </c>
      <c r="Q10" s="40"/>
      <c r="R10" s="41" t="s">
        <v>28</v>
      </c>
      <c r="S10" s="42" t="s">
        <v>101</v>
      </c>
      <c r="T10" s="129" t="s">
        <v>137</v>
      </c>
      <c r="U10" s="131" t="s">
        <v>29</v>
      </c>
      <c r="V10" s="35">
        <f>INDEX(Tier_12,MATCH($R$10,T_12,0)+1+ROWS(V$10:V10),COLUMNS($V10:V10))</f>
        <v>5</v>
      </c>
      <c r="W10" s="36">
        <f>INDEX(Tier_12,MATCH($R$10,T_12,0)+1+ROWS(W$10:W10),COLUMNS($V10:W10))</f>
        <v>3</v>
      </c>
      <c r="X10" s="107" t="str">
        <f>INDEX(Tier_12,MATCH($R$10,T_12,0)+1+ROWS(X$10:X10),COLUMNS($V10:X10))</f>
        <v>Fast</v>
      </c>
      <c r="Y10" s="43">
        <f>INDEX(Tier_12,MATCH($R$10,T_12,0)+1+ROWS(Y$10:Y10),COLUMNS($V10:Y10))</f>
        <v>0</v>
      </c>
      <c r="Z10" s="35">
        <f>INDEX(Tier_12,MATCH($R$10,T_12,0)+1+ROWS(Z$10:Z10),COLUMNS($V10:Z10))</f>
        <v>6</v>
      </c>
      <c r="AA10" s="36">
        <f>INDEX(Tier_12,MATCH($R$10,T_12,0)+1+ROWS(AA$10:AA10),COLUMNS($V10:AA10))</f>
        <v>2</v>
      </c>
      <c r="AB10" s="107" t="str">
        <f>INDEX(Tier_12,MATCH($R$10,T_12,0)+1+ROWS(AB$10:AB10),COLUMNS($V10:AB10))</f>
        <v>Moderate</v>
      </c>
      <c r="AC10" s="43">
        <f>INDEX(Tier_12,MATCH($R$10,T_12,0)+1+ROWS(AC$10:AC10),COLUMNS($V10:AC10))</f>
        <v>0</v>
      </c>
      <c r="AD10" s="35">
        <f>INDEX(Tier_12,MATCH($R$10,T_12,0)+1+ROWS(AD$10:AD10),COLUMNS($V10:AD10))</f>
        <v>6</v>
      </c>
      <c r="AE10" s="36">
        <f>INDEX(Tier_12,MATCH($R$10,T_12,0)+1+ROWS(AE$10:AE10),COLUMNS($V10:AE10))</f>
        <v>1</v>
      </c>
      <c r="AF10" s="107" t="str">
        <f>INDEX(Tier_12,MATCH($R$10,T_12,0)+1+ROWS(AF$10:AF10),COLUMNS($V10:AF10))</f>
        <v>Heavy</v>
      </c>
      <c r="AG10" s="43">
        <f>INDEX(Tier_12,MATCH($R$10,T_12,0)+1+ROWS(AG$10:AG10),COLUMNS($V10:AG10))</f>
        <v>0</v>
      </c>
    </row>
    <row r="11" spans="1:33" ht="55" customHeight="1" x14ac:dyDescent="0.2">
      <c r="A11" s="11"/>
      <c r="B11" s="25"/>
      <c r="C11" s="121"/>
      <c r="D11" s="132"/>
      <c r="E11" s="44"/>
      <c r="F11" s="45"/>
      <c r="G11" s="45"/>
      <c r="H11" s="46"/>
      <c r="I11" s="44"/>
      <c r="J11" s="45"/>
      <c r="K11" s="45"/>
      <c r="L11" s="46"/>
      <c r="M11" s="44"/>
      <c r="N11" s="45"/>
      <c r="O11" s="45"/>
      <c r="P11" s="46"/>
      <c r="Q11" s="40"/>
      <c r="R11" s="40"/>
      <c r="S11" s="47"/>
      <c r="T11" s="121"/>
      <c r="U11" s="132"/>
      <c r="V11" s="44"/>
      <c r="W11" s="45"/>
      <c r="X11" s="45"/>
      <c r="Y11" s="46"/>
      <c r="Z11" s="44"/>
      <c r="AA11" s="45"/>
      <c r="AB11" s="45"/>
      <c r="AC11" s="46"/>
      <c r="AD11" s="44"/>
      <c r="AE11" s="45"/>
      <c r="AF11" s="45"/>
      <c r="AG11" s="46"/>
    </row>
    <row r="12" spans="1:33" ht="55" customHeight="1" x14ac:dyDescent="0.2">
      <c r="A12" s="11"/>
      <c r="B12" s="12"/>
      <c r="C12" s="121"/>
      <c r="D12" s="132"/>
      <c r="E12" s="44"/>
      <c r="F12" s="45"/>
      <c r="G12" s="45"/>
      <c r="H12" s="46"/>
      <c r="I12" s="44"/>
      <c r="J12" s="45"/>
      <c r="K12" s="45"/>
      <c r="L12" s="46"/>
      <c r="M12" s="44"/>
      <c r="N12" s="45"/>
      <c r="O12" s="45"/>
      <c r="P12" s="46"/>
      <c r="Q12" s="40"/>
      <c r="R12" s="40"/>
      <c r="S12" s="40"/>
      <c r="T12" s="121"/>
      <c r="U12" s="132"/>
      <c r="V12" s="44"/>
      <c r="W12" s="45"/>
      <c r="X12" s="45"/>
      <c r="Y12" s="46"/>
      <c r="Z12" s="44"/>
      <c r="AA12" s="45"/>
      <c r="AB12" s="45"/>
      <c r="AC12" s="46"/>
      <c r="AD12" s="44"/>
      <c r="AE12" s="45"/>
      <c r="AF12" s="45"/>
      <c r="AG12" s="46"/>
    </row>
    <row r="13" spans="1:33" ht="55" customHeight="1" x14ac:dyDescent="0.2">
      <c r="A13" s="11"/>
      <c r="B13" s="12"/>
      <c r="C13" s="121"/>
      <c r="D13" s="132"/>
      <c r="E13" s="44"/>
      <c r="F13" s="45"/>
      <c r="G13" s="45"/>
      <c r="H13" s="46"/>
      <c r="I13" s="44"/>
      <c r="J13" s="45"/>
      <c r="K13" s="45"/>
      <c r="L13" s="46"/>
      <c r="M13" s="44"/>
      <c r="N13" s="45"/>
      <c r="O13" s="45"/>
      <c r="P13" s="46"/>
      <c r="Q13" s="40"/>
      <c r="R13" s="40"/>
      <c r="S13" s="40"/>
      <c r="T13" s="121"/>
      <c r="U13" s="132"/>
      <c r="V13" s="44"/>
      <c r="W13" s="45"/>
      <c r="X13" s="45"/>
      <c r="Y13" s="46"/>
      <c r="Z13" s="44"/>
      <c r="AA13" s="45"/>
      <c r="AB13" s="45"/>
      <c r="AC13" s="46"/>
      <c r="AD13" s="44"/>
      <c r="AE13" s="45"/>
      <c r="AF13" s="45"/>
      <c r="AG13" s="46"/>
    </row>
    <row r="14" spans="1:33" ht="55" customHeight="1" x14ac:dyDescent="0.2">
      <c r="A14" s="11"/>
      <c r="B14" s="12"/>
      <c r="C14" s="121"/>
      <c r="D14" s="48"/>
      <c r="E14" s="44"/>
      <c r="F14" s="45"/>
      <c r="G14" s="45"/>
      <c r="H14" s="46"/>
      <c r="I14" s="44"/>
      <c r="J14" s="45"/>
      <c r="K14" s="45"/>
      <c r="L14" s="46"/>
      <c r="M14" s="44"/>
      <c r="N14" s="45"/>
      <c r="O14" s="45"/>
      <c r="P14" s="46"/>
      <c r="Q14" s="40"/>
      <c r="R14" s="40"/>
      <c r="S14" s="40"/>
      <c r="T14" s="121"/>
      <c r="U14" s="48"/>
      <c r="V14" s="44"/>
      <c r="W14" s="45"/>
      <c r="X14" s="45"/>
      <c r="Y14" s="46"/>
      <c r="Z14" s="44"/>
      <c r="AA14" s="45"/>
      <c r="AB14" s="45"/>
      <c r="AC14" s="46"/>
      <c r="AD14" s="44"/>
      <c r="AE14" s="45"/>
      <c r="AF14" s="45"/>
      <c r="AG14" s="46"/>
    </row>
    <row r="15" spans="1:33" ht="55" customHeight="1" thickBot="1" x14ac:dyDescent="0.25">
      <c r="A15" s="11"/>
      <c r="B15" s="12"/>
      <c r="C15" s="130"/>
      <c r="D15" s="49"/>
      <c r="E15" s="50"/>
      <c r="F15" s="51"/>
      <c r="G15" s="51"/>
      <c r="H15" s="52"/>
      <c r="I15" s="50"/>
      <c r="J15" s="51"/>
      <c r="K15" s="51"/>
      <c r="L15" s="52"/>
      <c r="M15" s="50"/>
      <c r="N15" s="51"/>
      <c r="O15" s="51"/>
      <c r="P15" s="52"/>
      <c r="Q15" s="40"/>
      <c r="R15" s="40"/>
      <c r="S15" s="40"/>
      <c r="T15" s="130"/>
      <c r="U15" s="49"/>
      <c r="V15" s="50"/>
      <c r="W15" s="51"/>
      <c r="X15" s="51"/>
      <c r="Y15" s="52"/>
      <c r="Z15" s="50"/>
      <c r="AA15" s="51"/>
      <c r="AB15" s="51"/>
      <c r="AC15" s="52"/>
      <c r="AD15" s="50"/>
      <c r="AE15" s="51"/>
      <c r="AF15" s="51"/>
      <c r="AG15" s="52"/>
    </row>
    <row r="16" spans="1:33" ht="55" customHeight="1" x14ac:dyDescent="0.2">
      <c r="A16" s="23" t="s">
        <v>7</v>
      </c>
      <c r="B16" s="24" t="s">
        <v>102</v>
      </c>
      <c r="C16" s="121" t="s">
        <v>138</v>
      </c>
      <c r="D16" s="131" t="s">
        <v>56</v>
      </c>
      <c r="E16" s="35">
        <f>INDEX(Tier_12,MATCH($A$16,T_12,0)+1+ROWS(E$16:E16),COLUMNS($E16:E16))</f>
        <v>3</v>
      </c>
      <c r="F16" s="36">
        <f>INDEX(Tier_12,MATCH($A$16,T_12,0)+1+ROWS(F$16:F16),COLUMNS($E16:F16))</f>
        <v>10</v>
      </c>
      <c r="G16" s="108">
        <f>INDEX(Tier_12,MATCH($A$16,T_12,0)+1+ROWS(G$16:G16),COLUMNS($E16:G16))</f>
        <v>0.6</v>
      </c>
      <c r="H16" s="54">
        <f>INDEX(Tier_12,MATCH($A$16,T_12,0)+1+ROWS(H$16:H16),COLUMNS($E16:H16))</f>
        <v>0</v>
      </c>
      <c r="I16" s="35">
        <f>INDEX(Tier_12,MATCH($A$16,T_12,0)+1+ROWS(I$16:I16),COLUMNS($E16:I16))</f>
        <v>3</v>
      </c>
      <c r="J16" s="36">
        <f>INDEX(Tier_12,MATCH($A$16,T_12,0)+1+ROWS(J$16:J16),COLUMNS($E16:J16))</f>
        <v>10</v>
      </c>
      <c r="K16" s="108">
        <f>INDEX(Tier_12,MATCH($A$16,T_12,0)+1+ROWS(K$16:K16),COLUMNS($E16:K16))</f>
        <v>0.67500000000000004</v>
      </c>
      <c r="L16" s="54">
        <f>INDEX(Tier_12,MATCH($A$16,T_12,0)+1+ROWS(L$16:L16),COLUMNS($E16:L16))</f>
        <v>0</v>
      </c>
      <c r="M16" s="35">
        <f>INDEX(Tier_12,MATCH($A$16,T_12,0)+1+ROWS(M$16:M16),COLUMNS($E16:M16))</f>
        <v>3</v>
      </c>
      <c r="N16" s="36">
        <f>INDEX(Tier_12,MATCH($A$16,T_12,0)+1+ROWS(N$16:N16),COLUMNS($E16:N16))</f>
        <v>10</v>
      </c>
      <c r="O16" s="108">
        <f>INDEX(Tier_12,MATCH($A$16,T_12,0)+1+ROWS(O$16:O16),COLUMNS($E16:O16))</f>
        <v>0.75</v>
      </c>
      <c r="P16" s="55">
        <f>INDEX(Tier_12,MATCH($A$16,T_12,0)+1+ROWS(P$16:P16),COLUMNS($E16:P16))</f>
        <v>0</v>
      </c>
      <c r="Q16" s="40"/>
      <c r="R16" s="41" t="s">
        <v>7</v>
      </c>
      <c r="S16" s="42" t="s">
        <v>102</v>
      </c>
      <c r="T16" s="121" t="s">
        <v>138</v>
      </c>
      <c r="U16" s="131" t="s">
        <v>55</v>
      </c>
      <c r="V16" s="35">
        <f>INDEX(Tier_12,MATCH($R$16,T_12,0)+1+ROWS(V$16:V16),COLUMNS($V16:V16))</f>
        <v>3</v>
      </c>
      <c r="W16" s="36">
        <f>INDEX(Tier_12,MATCH($R$16,T_12,0)+1+ROWS(W$16:W16),COLUMNS($V16:W16))</f>
        <v>10</v>
      </c>
      <c r="X16" s="107">
        <f>INDEX(Tier_12,MATCH($R$16,T_12,0)+1+ROWS(X$16:X16),COLUMNS($V16:X16))</f>
        <v>0.6</v>
      </c>
      <c r="Y16" s="43">
        <f>INDEX(Tier_12,MATCH($R$16,T_12,0)+1+ROWS(Y$16:Y16),COLUMNS($V16:Y16))</f>
        <v>0</v>
      </c>
      <c r="Z16" s="35">
        <f>INDEX(Tier_12,MATCH($R$16,T_12,0)+1+ROWS(Z$16:Z16),COLUMNS($V16:Z16))</f>
        <v>3</v>
      </c>
      <c r="AA16" s="36">
        <f>INDEX(Tier_12,MATCH($R$16,T_12,0)+1+ROWS(AA$16:AA16),COLUMNS($V16:AA16))</f>
        <v>10</v>
      </c>
      <c r="AB16" s="107">
        <f>INDEX(Tier_12,MATCH($R$16,T_12,0)+1+ROWS(AB$16:AB16),COLUMNS($V16:AB16))</f>
        <v>0.67500000000000004</v>
      </c>
      <c r="AC16" s="43">
        <f>INDEX(Tier_12,MATCH($R$16,T_12,0)+1+ROWS(AC$16:AC16),COLUMNS($V16:AC16))</f>
        <v>0</v>
      </c>
      <c r="AD16" s="35">
        <f>INDEX(Tier_12,MATCH($R$16,T_12,0)+1+ROWS(AD$16:AD16),COLUMNS($V16:AD16))</f>
        <v>3</v>
      </c>
      <c r="AE16" s="36">
        <f>INDEX(Tier_12,MATCH($R$16,T_12,0)+1+ROWS(AE$16:AE16),COLUMNS($V16:AE16))</f>
        <v>10</v>
      </c>
      <c r="AF16" s="107">
        <f>INDEX(Tier_12,MATCH($R$16,T_12,0)+1+ROWS(AF$16:AF16),COLUMNS($V16:AF16))</f>
        <v>0.75</v>
      </c>
      <c r="AG16" s="43">
        <f>INDEX(Tier_12,MATCH($R$16,T_12,0)+1+ROWS(AG$16:AG16),COLUMNS($V16:AG16))</f>
        <v>0</v>
      </c>
    </row>
    <row r="17" spans="1:33" ht="55" customHeight="1" x14ac:dyDescent="0.2">
      <c r="A17" s="11"/>
      <c r="B17" s="25"/>
      <c r="C17" s="121"/>
      <c r="D17" s="132"/>
      <c r="E17" s="44"/>
      <c r="F17" s="45"/>
      <c r="G17" s="45"/>
      <c r="H17" s="46"/>
      <c r="I17" s="44"/>
      <c r="J17" s="45"/>
      <c r="K17" s="45"/>
      <c r="L17" s="46"/>
      <c r="M17" s="44"/>
      <c r="N17" s="45"/>
      <c r="O17" s="45"/>
      <c r="P17" s="46"/>
      <c r="Q17" s="40"/>
      <c r="R17" s="40"/>
      <c r="S17" s="47"/>
      <c r="T17" s="121"/>
      <c r="U17" s="132"/>
      <c r="V17" s="44"/>
      <c r="W17" s="45"/>
      <c r="X17" s="45"/>
      <c r="Y17" s="46"/>
      <c r="Z17" s="44"/>
      <c r="AA17" s="45"/>
      <c r="AB17" s="45"/>
      <c r="AC17" s="46"/>
      <c r="AD17" s="44"/>
      <c r="AE17" s="45"/>
      <c r="AF17" s="45"/>
      <c r="AG17" s="46"/>
    </row>
    <row r="18" spans="1:33" ht="55" customHeight="1" x14ac:dyDescent="0.2">
      <c r="A18" s="11"/>
      <c r="B18" s="12"/>
      <c r="C18" s="121"/>
      <c r="D18" s="132"/>
      <c r="E18" s="44"/>
      <c r="F18" s="45"/>
      <c r="G18" s="45"/>
      <c r="H18" s="46"/>
      <c r="I18" s="44"/>
      <c r="J18" s="45"/>
      <c r="K18" s="45"/>
      <c r="L18" s="46"/>
      <c r="M18" s="44"/>
      <c r="N18" s="45"/>
      <c r="O18" s="45"/>
      <c r="P18" s="46"/>
      <c r="Q18" s="40"/>
      <c r="R18" s="40"/>
      <c r="S18" s="40"/>
      <c r="T18" s="121"/>
      <c r="U18" s="132"/>
      <c r="V18" s="44"/>
      <c r="W18" s="45"/>
      <c r="X18" s="45"/>
      <c r="Y18" s="46"/>
      <c r="Z18" s="44"/>
      <c r="AA18" s="45"/>
      <c r="AB18" s="45"/>
      <c r="AC18" s="46"/>
      <c r="AD18" s="44"/>
      <c r="AE18" s="45"/>
      <c r="AF18" s="45"/>
      <c r="AG18" s="46"/>
    </row>
    <row r="19" spans="1:33" ht="55" customHeight="1" x14ac:dyDescent="0.2">
      <c r="A19" s="11"/>
      <c r="B19" s="12"/>
      <c r="C19" s="121"/>
      <c r="D19" s="132"/>
      <c r="E19" s="44"/>
      <c r="F19" s="45"/>
      <c r="G19" s="45"/>
      <c r="H19" s="46"/>
      <c r="I19" s="44"/>
      <c r="J19" s="45"/>
      <c r="K19" s="45"/>
      <c r="L19" s="46"/>
      <c r="M19" s="44"/>
      <c r="N19" s="45"/>
      <c r="O19" s="45"/>
      <c r="P19" s="46"/>
      <c r="Q19" s="40"/>
      <c r="R19" s="40"/>
      <c r="S19" s="40"/>
      <c r="T19" s="121"/>
      <c r="U19" s="132"/>
      <c r="V19" s="44"/>
      <c r="W19" s="45"/>
      <c r="X19" s="45"/>
      <c r="Y19" s="46"/>
      <c r="Z19" s="44"/>
      <c r="AA19" s="45"/>
      <c r="AB19" s="45"/>
      <c r="AC19" s="46"/>
      <c r="AD19" s="44"/>
      <c r="AE19" s="45"/>
      <c r="AF19" s="45"/>
      <c r="AG19" s="46"/>
    </row>
    <row r="20" spans="1:33" ht="55" customHeight="1" thickBot="1" x14ac:dyDescent="0.25">
      <c r="A20" s="11"/>
      <c r="B20" s="12"/>
      <c r="C20" s="121"/>
      <c r="D20" s="34"/>
      <c r="E20" s="50"/>
      <c r="F20" s="51"/>
      <c r="G20" s="51"/>
      <c r="H20" s="52"/>
      <c r="I20" s="50"/>
      <c r="J20" s="51"/>
      <c r="K20" s="51"/>
      <c r="L20" s="52"/>
      <c r="M20" s="50"/>
      <c r="N20" s="51"/>
      <c r="O20" s="51"/>
      <c r="P20" s="52"/>
      <c r="Q20" s="40"/>
      <c r="R20" s="40"/>
      <c r="S20" s="40"/>
      <c r="T20" s="121"/>
      <c r="U20" s="34"/>
      <c r="V20" s="50"/>
      <c r="W20" s="51"/>
      <c r="X20" s="51"/>
      <c r="Y20" s="52"/>
      <c r="Z20" s="50"/>
      <c r="AA20" s="51"/>
      <c r="AB20" s="51"/>
      <c r="AC20" s="52"/>
      <c r="AD20" s="50"/>
      <c r="AE20" s="51"/>
      <c r="AF20" s="51"/>
      <c r="AG20" s="52"/>
    </row>
    <row r="21" spans="1:33" ht="55" customHeight="1" x14ac:dyDescent="0.2">
      <c r="A21" s="23" t="s">
        <v>21</v>
      </c>
      <c r="B21" s="24" t="s">
        <v>103</v>
      </c>
      <c r="C21" s="129" t="s">
        <v>139</v>
      </c>
      <c r="D21" s="131" t="s">
        <v>58</v>
      </c>
      <c r="E21" s="35">
        <f>INDEX(Tier_3,MATCH($A$21,T_3,0)+1+ROWS(E$21:E21),COLUMNS($E21:E21))</f>
        <v>4</v>
      </c>
      <c r="F21" s="36">
        <f>INDEX(Tier_3,MATCH($A$21,T_3,0)+1+ROWS(F$21:F21),COLUMNS($E21:F21))</f>
        <v>8</v>
      </c>
      <c r="G21" s="56">
        <f>INDEX(Tier_3,MATCH($A$21,T_3,0)+1+ROWS(G$21:G21),COLUMNS($E21:G21))</f>
        <v>0</v>
      </c>
      <c r="H21" s="109" t="str">
        <f>INDEX(Tier_3,MATCH($A$21,T_3,0)+1+ROWS(H$21:H21),COLUMNS($E21:H21))</f>
        <v>+5-10lbs</v>
      </c>
      <c r="I21" s="35">
        <f>INDEX(Tier_3,MATCH($A$21,T_3,0)+1+ROWS(I$21:I21),COLUMNS($E21:I21))</f>
        <v>4</v>
      </c>
      <c r="J21" s="36">
        <f>INDEX(Tier_3,MATCH($A$21,T_3,0)+1+ROWS(J$21:J21),COLUMNS($E21:J21))</f>
        <v>6</v>
      </c>
      <c r="K21" s="58">
        <f>INDEX(Tier_3,MATCH($A$21,T_3,0)+1+ROWS(K$21:K21),COLUMNS($E21:K21))</f>
        <v>0</v>
      </c>
      <c r="L21" s="105" t="str">
        <f>INDEX(Tier_3,MATCH($A$21,T_3,0)+1+ROWS(L$21:L21),COLUMNS($E21:L21))</f>
        <v>+5-10lbs</v>
      </c>
      <c r="M21" s="35">
        <f>INDEX(Tier_3,MATCH($A$21,T_3,0)+1+ROWS(M$21:M21),COLUMNS($E21:M21))</f>
        <v>4</v>
      </c>
      <c r="N21" s="36">
        <f>INDEX(Tier_3,MATCH($A$21,T_3,0)+1+ROWS(N$21:N21),COLUMNS($E21:N21))</f>
        <v>4</v>
      </c>
      <c r="O21" s="36">
        <f>INDEX(Tier_3,MATCH($A$21,T_3,0)+1+ROWS(O$21:O21),COLUMNS($E21:O21))</f>
        <v>0</v>
      </c>
      <c r="P21" s="106" t="str">
        <f>INDEX(Tier_3,MATCH($A$21,T_3,0)+1+ROWS(P$21:P21),COLUMNS($E21:P21))</f>
        <v>+5-10lbs</v>
      </c>
      <c r="Q21" s="40"/>
      <c r="R21" s="41" t="s">
        <v>21</v>
      </c>
      <c r="S21" s="42" t="s">
        <v>103</v>
      </c>
      <c r="T21" s="129" t="s">
        <v>139</v>
      </c>
      <c r="U21" s="131" t="s">
        <v>70</v>
      </c>
      <c r="V21" s="35">
        <f>INDEX(Tier_3,MATCH($R$21,T_3,0)+1+ROWS(V$21:V21),COLUMNS($V21:V21))</f>
        <v>4</v>
      </c>
      <c r="W21" s="36">
        <f>INDEX(Tier_3,MATCH($R$21,T_3,0)+1+ROWS(W$21:W21),COLUMNS($V21:W21))</f>
        <v>8</v>
      </c>
      <c r="X21" s="56">
        <f>INDEX(Tier_3,MATCH($R$21,T_3,0)+1+ROWS(X$21:X21),COLUMNS($V21:X21))</f>
        <v>0</v>
      </c>
      <c r="Y21" s="106" t="str">
        <f>INDEX(Tier_3,MATCH($R$21,T_3,0)+1+ROWS(Y$21:Y21),COLUMNS($V21:Y21))</f>
        <v>+5-10lbs</v>
      </c>
      <c r="Z21" s="35">
        <f>INDEX(Tier_3,MATCH($R$21,T_3,0)+1+ROWS(Z$21:Z21),COLUMNS($V21:Z21))</f>
        <v>4</v>
      </c>
      <c r="AA21" s="36">
        <f>INDEX(Tier_3,MATCH($R$21,T_3,0)+1+ROWS(AA$21:AA21),COLUMNS($V21:AA21))</f>
        <v>6</v>
      </c>
      <c r="AB21" s="56">
        <f>INDEX(Tier_3,MATCH($R$21,T_3,0)+1+ROWS(AB$21:AB21),COLUMNS($V21:AB21))</f>
        <v>0</v>
      </c>
      <c r="AC21" s="106" t="str">
        <f>INDEX(Tier_3,MATCH($R$21,T_3,0)+1+ROWS(AC$21:AC21),COLUMNS($V21:AC21))</f>
        <v>+5-10lbs</v>
      </c>
      <c r="AD21" s="35">
        <f>INDEX(Tier_3,MATCH($R$21,T_3,0)+1+ROWS(AD$21:AD21),COLUMNS($V21:AD21))</f>
        <v>4</v>
      </c>
      <c r="AE21" s="36">
        <f>INDEX(Tier_3,MATCH($R$21,T_3,0)+1+ROWS(AE$21:AE21),COLUMNS($V21:AE21))</f>
        <v>4</v>
      </c>
      <c r="AF21" s="56">
        <f>INDEX(Tier_3,MATCH($R$21,T_3,0)+1+ROWS(AF$21:AF21),COLUMNS($V21:AF21))</f>
        <v>0</v>
      </c>
      <c r="AG21" s="106" t="str">
        <f>INDEX(Tier_3,MATCH($R$21,T_3,0)+1+ROWS(AG$21:AG21),COLUMNS($V21:AG21))</f>
        <v>+5-10lbs</v>
      </c>
    </row>
    <row r="22" spans="1:33" ht="55" customHeight="1" x14ac:dyDescent="0.2">
      <c r="A22" s="11"/>
      <c r="B22" s="25"/>
      <c r="C22" s="121"/>
      <c r="D22" s="132"/>
      <c r="E22" s="44"/>
      <c r="F22" s="45"/>
      <c r="G22" s="45"/>
      <c r="H22" s="46"/>
      <c r="I22" s="44"/>
      <c r="J22" s="45"/>
      <c r="K22" s="45"/>
      <c r="L22" s="46"/>
      <c r="M22" s="44"/>
      <c r="N22" s="45"/>
      <c r="O22" s="45"/>
      <c r="P22" s="46"/>
      <c r="Q22" s="40"/>
      <c r="R22" s="40"/>
      <c r="S22" s="47"/>
      <c r="T22" s="121"/>
      <c r="U22" s="132"/>
      <c r="V22" s="44"/>
      <c r="W22" s="45"/>
      <c r="X22" s="45"/>
      <c r="Y22" s="46"/>
      <c r="Z22" s="44"/>
      <c r="AA22" s="45"/>
      <c r="AB22" s="45"/>
      <c r="AC22" s="46"/>
      <c r="AD22" s="44"/>
      <c r="AE22" s="45"/>
      <c r="AF22" s="45"/>
      <c r="AG22" s="46"/>
    </row>
    <row r="23" spans="1:33" ht="55" customHeight="1" x14ac:dyDescent="0.2">
      <c r="A23" s="11"/>
      <c r="B23" s="12"/>
      <c r="C23" s="121"/>
      <c r="D23" s="132"/>
      <c r="E23" s="44"/>
      <c r="F23" s="45"/>
      <c r="G23" s="45"/>
      <c r="H23" s="46"/>
      <c r="I23" s="44"/>
      <c r="J23" s="45"/>
      <c r="K23" s="45"/>
      <c r="L23" s="46"/>
      <c r="M23" s="44"/>
      <c r="N23" s="45"/>
      <c r="O23" s="45"/>
      <c r="P23" s="46"/>
      <c r="Q23" s="40"/>
      <c r="R23" s="40"/>
      <c r="S23" s="40"/>
      <c r="T23" s="121"/>
      <c r="U23" s="132"/>
      <c r="V23" s="44"/>
      <c r="W23" s="45"/>
      <c r="X23" s="45"/>
      <c r="Y23" s="46"/>
      <c r="Z23" s="44"/>
      <c r="AA23" s="45"/>
      <c r="AB23" s="45"/>
      <c r="AC23" s="46"/>
      <c r="AD23" s="44"/>
      <c r="AE23" s="45"/>
      <c r="AF23" s="45"/>
      <c r="AG23" s="46"/>
    </row>
    <row r="24" spans="1:33" ht="55" customHeight="1" thickBot="1" x14ac:dyDescent="0.25">
      <c r="A24" s="11"/>
      <c r="B24" s="12"/>
      <c r="C24" s="130"/>
      <c r="D24" s="92"/>
      <c r="E24" s="50"/>
      <c r="F24" s="51"/>
      <c r="G24" s="51"/>
      <c r="H24" s="52"/>
      <c r="I24" s="50"/>
      <c r="J24" s="51"/>
      <c r="K24" s="51"/>
      <c r="L24" s="52"/>
      <c r="M24" s="50"/>
      <c r="N24" s="51"/>
      <c r="O24" s="51"/>
      <c r="P24" s="52"/>
      <c r="Q24" s="40"/>
      <c r="R24" s="40"/>
      <c r="S24" s="40"/>
      <c r="T24" s="130"/>
      <c r="U24" s="92"/>
      <c r="V24" s="50"/>
      <c r="W24" s="51"/>
      <c r="X24" s="51"/>
      <c r="Y24" s="52"/>
      <c r="Z24" s="50"/>
      <c r="AA24" s="51"/>
      <c r="AB24" s="51"/>
      <c r="AC24" s="52"/>
      <c r="AD24" s="50"/>
      <c r="AE24" s="51"/>
      <c r="AF24" s="51"/>
      <c r="AG24" s="52"/>
    </row>
    <row r="25" spans="1:33" ht="55" customHeight="1" outlineLevel="2" x14ac:dyDescent="0.2">
      <c r="A25" s="23" t="s">
        <v>142</v>
      </c>
      <c r="B25" s="24" t="s">
        <v>102</v>
      </c>
      <c r="C25" s="134" t="s">
        <v>37</v>
      </c>
      <c r="D25" s="135" t="s">
        <v>107</v>
      </c>
      <c r="E25" s="60">
        <f>INDEX(Tier_45,MATCH($A$25,T_45,0)+1+ROWS(E$25:E25),COLUMNS($E25:E25))</f>
        <v>3</v>
      </c>
      <c r="F25" s="61" t="str">
        <f>INDEX(Tier_45,MATCH($A$25,T_45,0)+1+ROWS(F$25:F25),COLUMNS($E25:F25))</f>
        <v xml:space="preserve">6e. </v>
      </c>
      <c r="G25" s="62">
        <f>INDEX(Tier_45,MATCH($A$25,T_45,0)+1+ROWS(G$25:G25),COLUMNS($E25:G25))</f>
        <v>0</v>
      </c>
      <c r="H25" s="63"/>
      <c r="I25" s="60">
        <f>INDEX(Tier_45,MATCH($A$25,T_45,0)+1+ROWS(I$25:I25),COLUMNS($E25:I25))</f>
        <v>3</v>
      </c>
      <c r="J25" s="61" t="str">
        <f>INDEX(Tier_45,MATCH($A$25,T_45,0)+1+ROWS(J$25:J25),COLUMNS($E25:J25))</f>
        <v>5e.</v>
      </c>
      <c r="K25" s="62">
        <f>INDEX(Tier_45,MATCH($A$25,T_45,0)+1+ROWS(K$25:K25),COLUMNS($E25:K25))</f>
        <v>0</v>
      </c>
      <c r="L25" s="63"/>
      <c r="M25" s="60">
        <f>INDEX(Tier_45,MATCH($A$25,T_45,0)+1+ROWS(M$25:M25),COLUMNS($E25:M25))</f>
        <v>3</v>
      </c>
      <c r="N25" s="61" t="str">
        <f>INDEX(Tier_45,MATCH($A$25,T_45,0)+1+ROWS(N$25:N25),COLUMNS($E25:N25))</f>
        <v>4e.</v>
      </c>
      <c r="O25" s="62">
        <f>INDEX(Tier_45,MATCH($A$25,T_45,0)+1+ROWS(O$25:O25),COLUMNS($E25:O25))</f>
        <v>0</v>
      </c>
      <c r="P25" s="63"/>
      <c r="Q25" s="40"/>
      <c r="R25" s="41" t="s">
        <v>142</v>
      </c>
      <c r="S25" s="42" t="s">
        <v>102</v>
      </c>
      <c r="T25" s="134" t="s">
        <v>37</v>
      </c>
      <c r="U25" s="135" t="s">
        <v>61</v>
      </c>
      <c r="V25" s="60">
        <f>INDEX(Tier_45,MATCH($R$25,T_45,0)+1+ROWS(V$25:V25),COLUMNS($V25:V25))</f>
        <v>3</v>
      </c>
      <c r="W25" s="61" t="str">
        <f>INDEX(Tier_45,MATCH($R$25,T_45,0)+1+ROWS(W$25:W25),COLUMNS($V25:W25))</f>
        <v xml:space="preserve">6e. </v>
      </c>
      <c r="X25" s="62">
        <f>INDEX(Tier_45,MATCH($R$25,T_45,0)+1+ROWS(X$25:X25),COLUMNS($V25:X25))</f>
        <v>0</v>
      </c>
      <c r="Y25" s="63">
        <f>INDEX(Tier_45,MATCH($R$25,T_45,0)+1+ROWS(Y$25:Y25),COLUMNS($V25:Y25))</f>
        <v>0</v>
      </c>
      <c r="Z25" s="60">
        <f>INDEX(Tier_45,MATCH($R$25,T_45,0)+1+ROWS(Z$25:Z25),COLUMNS($V25:Z25))</f>
        <v>3</v>
      </c>
      <c r="AA25" s="61" t="str">
        <f>INDEX(Tier_45,MATCH($R$25,T_45,0)+1+ROWS(AA$25:AA25),COLUMNS($V25:AA25))</f>
        <v>5e.</v>
      </c>
      <c r="AB25" s="62">
        <f>INDEX(Tier_45,MATCH($R$25,T_45,0)+1+ROWS(AB$25:AB25),COLUMNS($V25:AB25))</f>
        <v>0</v>
      </c>
      <c r="AC25" s="63">
        <f>INDEX(Tier_45,MATCH($R$25,T_45,0)+1+ROWS(AC$25:AC25),COLUMNS($V25:AC25))</f>
        <v>0</v>
      </c>
      <c r="AD25" s="60">
        <f>INDEX(Tier_45,MATCH($R$25,T_45,0)+1+ROWS(AD$25:AD25),COLUMNS($V25:AD25))</f>
        <v>3</v>
      </c>
      <c r="AE25" s="61" t="str">
        <f>INDEX(Tier_45,MATCH($R$25,T_45,0)+1+ROWS(AE$25:AE25),COLUMNS($V25:AE25))</f>
        <v>4e.</v>
      </c>
      <c r="AF25" s="62">
        <f>INDEX(Tier_45,MATCH($R$25,T_45,0)+1+ROWS(AF$25:AF25),COLUMNS($V25:AF25))</f>
        <v>0</v>
      </c>
      <c r="AG25" s="63">
        <f>INDEX(Tier_45,MATCH($R$25,T_45,0)+1+ROWS(AG$25:AG25),COLUMNS($V25:AG25))</f>
        <v>0</v>
      </c>
    </row>
    <row r="26" spans="1:33" ht="55" customHeight="1" outlineLevel="2" x14ac:dyDescent="0.2">
      <c r="A26" s="11"/>
      <c r="B26" s="10"/>
      <c r="C26" s="134"/>
      <c r="D26" s="136"/>
      <c r="E26" s="64"/>
      <c r="F26" s="65"/>
      <c r="G26" s="66"/>
      <c r="H26" s="67"/>
      <c r="I26" s="64"/>
      <c r="J26" s="65"/>
      <c r="K26" s="66"/>
      <c r="L26" s="67"/>
      <c r="M26" s="64"/>
      <c r="N26" s="65"/>
      <c r="O26" s="66"/>
      <c r="P26" s="67"/>
      <c r="Q26" s="40"/>
      <c r="R26" s="40"/>
      <c r="S26" s="68"/>
      <c r="T26" s="134"/>
      <c r="U26" s="136"/>
      <c r="V26" s="64"/>
      <c r="W26" s="65"/>
      <c r="X26" s="66"/>
      <c r="Y26" s="67"/>
      <c r="Z26" s="64"/>
      <c r="AA26" s="65"/>
      <c r="AB26" s="66"/>
      <c r="AC26" s="67"/>
      <c r="AD26" s="64"/>
      <c r="AE26" s="65"/>
      <c r="AF26" s="66"/>
      <c r="AG26" s="67"/>
    </row>
    <row r="27" spans="1:33" ht="55" customHeight="1" outlineLevel="2" thickBot="1" x14ac:dyDescent="0.25">
      <c r="A27" s="11"/>
      <c r="B27" s="12"/>
      <c r="C27" s="134"/>
      <c r="D27" s="33" t="s">
        <v>109</v>
      </c>
      <c r="E27" s="69"/>
      <c r="F27" s="70"/>
      <c r="G27" s="71"/>
      <c r="H27" s="72"/>
      <c r="I27" s="69"/>
      <c r="J27" s="70"/>
      <c r="K27" s="71"/>
      <c r="L27" s="72"/>
      <c r="M27" s="69"/>
      <c r="N27" s="70"/>
      <c r="O27" s="71"/>
      <c r="P27" s="72"/>
      <c r="Q27" s="40"/>
      <c r="R27" s="40"/>
      <c r="S27" s="40"/>
      <c r="T27" s="134"/>
      <c r="U27" s="33"/>
      <c r="V27" s="69"/>
      <c r="W27" s="70"/>
      <c r="X27" s="71"/>
      <c r="Y27" s="72"/>
      <c r="Z27" s="69"/>
      <c r="AA27" s="70"/>
      <c r="AB27" s="71"/>
      <c r="AC27" s="72"/>
      <c r="AD27" s="69"/>
      <c r="AE27" s="70"/>
      <c r="AF27" s="71"/>
      <c r="AG27" s="72"/>
    </row>
    <row r="28" spans="1:33" ht="55" customHeight="1" outlineLevel="2" x14ac:dyDescent="0.2">
      <c r="A28" s="23" t="s">
        <v>30</v>
      </c>
      <c r="B28" s="24" t="s">
        <v>103</v>
      </c>
      <c r="C28" s="134"/>
      <c r="D28" s="135" t="s">
        <v>140</v>
      </c>
      <c r="E28" s="60">
        <f>INDEX(Tier_45,MATCH($A28,T_45,0)+1+ROWS(E$28:E28),COLUMNS($E28:E28))</f>
        <v>3</v>
      </c>
      <c r="F28" s="61">
        <f>INDEX(Tier_45,MATCH($A$28,T_45,0)+1+ROWS(F$28:F28),COLUMNS($E28:F28))</f>
        <v>12</v>
      </c>
      <c r="G28" s="62">
        <f>INDEX(Tier_45,MATCH($A$25,T_45,0)+1+ROWS(G$25:G28),COLUMNS($E28:G28))</f>
        <v>0</v>
      </c>
      <c r="H28" s="63"/>
      <c r="I28" s="60">
        <f>INDEX(Tier_45,MATCH($A$28,T_45,0)+1+ROWS(I$28:I28),COLUMNS($E28:I28))</f>
        <v>3</v>
      </c>
      <c r="J28" s="61">
        <f>INDEX(Tier_45,MATCH($A$28,T_45,0)+1+ROWS(J$28:J28),COLUMNS($E28:J28))</f>
        <v>10</v>
      </c>
      <c r="K28" s="62">
        <f>INDEX(Tier_45,MATCH($A$25,T_45,0)+1+ROWS(K$25:K28),COLUMNS($E28:K28))</f>
        <v>0</v>
      </c>
      <c r="L28" s="63"/>
      <c r="M28" s="60">
        <f>INDEX(Tier_45,MATCH($A$28,T_45,0)+1+ROWS(M$28:M28),COLUMNS($E28:M28))</f>
        <v>3</v>
      </c>
      <c r="N28" s="61">
        <f>INDEX(Tier_45,MATCH($A$28,T_45,0)+1+ROWS(N$28:N28),COLUMNS($E28:N28))</f>
        <v>8</v>
      </c>
      <c r="O28" s="62">
        <f>INDEX(Tier_45,MATCH($A$25,T_45,0)+1+ROWS(O$25:O28),COLUMNS($E28:O28))</f>
        <v>0</v>
      </c>
      <c r="P28" s="63"/>
      <c r="Q28" s="40"/>
      <c r="R28" s="41" t="s">
        <v>23</v>
      </c>
      <c r="S28" s="42" t="s">
        <v>103</v>
      </c>
      <c r="T28" s="134"/>
      <c r="U28" s="135" t="s">
        <v>76</v>
      </c>
      <c r="V28" s="60">
        <f>INDEX(Tier_45,MATCH($R$28,T_45,0)+1+ROWS(V$28:V28),COLUMNS($V28:V28))</f>
        <v>3</v>
      </c>
      <c r="W28" s="61">
        <f>INDEX(Tier_45,MATCH($R$28,T_45,0)+1+ROWS(W$28:W28),COLUMNS($V28:W28))</f>
        <v>8</v>
      </c>
      <c r="X28" s="62">
        <f>INDEX(Tier_45,MATCH($R$25,T_45,0)+1+ROWS(X$25:X28),COLUMNS($V28:X28))</f>
        <v>0</v>
      </c>
      <c r="Y28" s="63">
        <f>INDEX(Tier_45,MATCH($R$25,T_45,0)+1+ROWS(Y$25:Y28),COLUMNS($V28:Y28))</f>
        <v>0</v>
      </c>
      <c r="Z28" s="60">
        <f>INDEX(Tier_45,MATCH($R$28,T_45,0)+1+ROWS(Z$28:Z28),COLUMNS($V28:Z28))</f>
        <v>3</v>
      </c>
      <c r="AA28" s="61">
        <f>INDEX(Tier_45,MATCH($R$28,T_45,0)+1+ROWS(AA$28:AA28),COLUMNS($V28:AA28))</f>
        <v>10</v>
      </c>
      <c r="AB28" s="62">
        <f>INDEX(Tier_45,MATCH($R$25,T_45,0)+1+ROWS(AB$25:AB28),COLUMNS($V28:AB28))</f>
        <v>0</v>
      </c>
      <c r="AC28" s="63">
        <f>INDEX(Tier_45,MATCH($R$25,T_45,0)+1+ROWS(AC$25:AC28),COLUMNS($V28:AC28))</f>
        <v>0</v>
      </c>
      <c r="AD28" s="60">
        <f>INDEX(Tier_45,MATCH($R$28,T_45,0)+1+ROWS(AD$28:AD28),COLUMNS($V28:AD28))</f>
        <v>3</v>
      </c>
      <c r="AE28" s="61">
        <f>INDEX(Tier_45,MATCH($R$28,T_45,0)+1+ROWS(AE$28:AE28),COLUMNS($V28:AE28))</f>
        <v>12</v>
      </c>
      <c r="AF28" s="62">
        <f>INDEX(Tier_45,MATCH($R$25,T_45,0)+1+ROWS(AF$25:AF28),COLUMNS($V28:AF28))</f>
        <v>0</v>
      </c>
      <c r="AG28" s="63">
        <f>INDEX(Tier_45,MATCH($R$25,T_45,0)+1+ROWS(AG$25:AG28),COLUMNS($V28:AG28))</f>
        <v>0</v>
      </c>
    </row>
    <row r="29" spans="1:33" ht="55" customHeight="1" outlineLevel="2" x14ac:dyDescent="0.2">
      <c r="A29" s="11"/>
      <c r="B29" s="10"/>
      <c r="C29" s="134"/>
      <c r="D29" s="136"/>
      <c r="E29" s="64"/>
      <c r="F29" s="65"/>
      <c r="G29" s="66"/>
      <c r="H29" s="67"/>
      <c r="I29" s="64"/>
      <c r="J29" s="65"/>
      <c r="K29" s="66"/>
      <c r="L29" s="67"/>
      <c r="M29" s="64"/>
      <c r="N29" s="65"/>
      <c r="O29" s="66"/>
      <c r="P29" s="67"/>
      <c r="Q29" s="40"/>
      <c r="R29" s="40"/>
      <c r="S29" s="68"/>
      <c r="T29" s="134"/>
      <c r="U29" s="136"/>
      <c r="V29" s="64"/>
      <c r="W29" s="65"/>
      <c r="X29" s="66"/>
      <c r="Y29" s="67"/>
      <c r="Z29" s="64"/>
      <c r="AA29" s="65"/>
      <c r="AB29" s="66"/>
      <c r="AC29" s="67"/>
      <c r="AD29" s="64"/>
      <c r="AE29" s="65"/>
      <c r="AF29" s="66"/>
      <c r="AG29" s="67"/>
    </row>
    <row r="30" spans="1:33" ht="55" customHeight="1" outlineLevel="2" thickBot="1" x14ac:dyDescent="0.25">
      <c r="A30" s="11"/>
      <c r="B30" s="12"/>
      <c r="C30" s="134"/>
      <c r="D30" s="30"/>
      <c r="E30" s="69"/>
      <c r="F30" s="70"/>
      <c r="G30" s="71"/>
      <c r="H30" s="72"/>
      <c r="I30" s="69"/>
      <c r="J30" s="70"/>
      <c r="K30" s="71"/>
      <c r="L30" s="72"/>
      <c r="M30" s="69"/>
      <c r="N30" s="70"/>
      <c r="O30" s="71"/>
      <c r="P30" s="72"/>
      <c r="Q30" s="40"/>
      <c r="R30" s="40"/>
      <c r="S30" s="40"/>
      <c r="T30" s="134"/>
      <c r="U30" s="30"/>
      <c r="V30" s="69"/>
      <c r="W30" s="70"/>
      <c r="X30" s="71"/>
      <c r="Y30" s="72"/>
      <c r="Z30" s="69"/>
      <c r="AA30" s="70"/>
      <c r="AB30" s="71"/>
      <c r="AC30" s="72"/>
      <c r="AD30" s="69"/>
      <c r="AE30" s="70"/>
      <c r="AF30" s="71"/>
      <c r="AG30" s="72"/>
    </row>
    <row r="31" spans="1:33" ht="55" customHeight="1" x14ac:dyDescent="0.2">
      <c r="A31" s="23" t="s">
        <v>32</v>
      </c>
      <c r="B31" s="24" t="s">
        <v>41</v>
      </c>
      <c r="C31" s="126" t="s">
        <v>36</v>
      </c>
      <c r="D31" s="119" t="s">
        <v>84</v>
      </c>
      <c r="E31" s="73">
        <f>INDEX(Tier_67,MATCH($A$31,T_67,0)+1+ROWS(E$31:E31),COLUMNS($E31:E31))</f>
        <v>2</v>
      </c>
      <c r="F31" s="100">
        <f>INDEX(Tier_67,MATCH($A$31,T_67,0)+1+ROWS(F$31:F31),COLUMNS($E31:F31))</f>
        <v>10</v>
      </c>
      <c r="G31" s="74">
        <f>INDEX(Tier_67,MATCH($A$31,T_67,0)+1+ROWS(G$31:G31),COLUMNS($E31:G31))</f>
        <v>0</v>
      </c>
      <c r="H31" s="75"/>
      <c r="I31" s="73">
        <f>INDEX(Tier_67,MATCH($A$31,T_67,0)+1+ROWS(I$31:I31),COLUMNS($E31:I31))</f>
        <v>2</v>
      </c>
      <c r="J31" s="100">
        <f>INDEX(Tier_67,MATCH($A$31,T_67,0)+1+ROWS(J$31:J31),COLUMNS($E31:J31))</f>
        <v>12</v>
      </c>
      <c r="K31" s="74">
        <f>INDEX(Tier_67,MATCH($A$31,T_67,0)+1+ROWS(K$31:K31),COLUMNS($E31:K31))</f>
        <v>0</v>
      </c>
      <c r="L31" s="75"/>
      <c r="M31" s="73">
        <f>INDEX(Tier_67,MATCH($A$31,T_67,0)+1+ROWS(M$31:M31),COLUMNS($E31:M31))</f>
        <v>2</v>
      </c>
      <c r="N31" s="100">
        <f>INDEX(Tier_67,MATCH($A$31,T_67,0)+1+ROWS(N$31:N31),COLUMNS($E31:N31))</f>
        <v>15</v>
      </c>
      <c r="O31" s="74">
        <f>INDEX(Tier_67,MATCH($A$31,T_67,0)+1+ROWS(O$31:O31),COLUMNS($E31:O31))</f>
        <v>0</v>
      </c>
      <c r="P31" s="75"/>
      <c r="Q31" s="40"/>
      <c r="R31" s="41" t="s">
        <v>117</v>
      </c>
      <c r="S31" s="42" t="s">
        <v>41</v>
      </c>
      <c r="T31" s="126" t="s">
        <v>36</v>
      </c>
      <c r="U31" s="119" t="s">
        <v>88</v>
      </c>
      <c r="V31" s="73">
        <f>INDEX(Tier_67,MATCH($R$31,T_67,0)+1+ROWS(V$31:V31),COLUMNS($V31:V31))</f>
        <v>2</v>
      </c>
      <c r="W31" s="76">
        <f>INDEX(Tier_67,MATCH($R$31,T_67,0)+1+ROWS(W$31:W31),COLUMNS($V31:W31))</f>
        <v>10</v>
      </c>
      <c r="X31" s="74">
        <f>INDEX(Tier_67,MATCH($R$31,T_67,0)+1+ROWS(X$31:X31),COLUMNS($V31:X31))</f>
        <v>0</v>
      </c>
      <c r="Y31" s="75">
        <f>INDEX(Tier_67,MATCH($R$31,T_67,0)+1+ROWS(Y$31:Y31),COLUMNS($V31:Y31))</f>
        <v>0</v>
      </c>
      <c r="Z31" s="73">
        <f>INDEX(Tier_67,MATCH($R$31,T_67,0)+1+ROWS(Z$31:Z31),COLUMNS($V31:Z31))</f>
        <v>2</v>
      </c>
      <c r="AA31" s="76">
        <f>INDEX(Tier_67,MATCH($R$31,T_67,0)+1+ROWS(AA$31:AA31),COLUMNS($V31:AA31))</f>
        <v>10</v>
      </c>
      <c r="AB31" s="74">
        <f>INDEX(Tier_67,MATCH($R$31,T_67,0)+1+ROWS(AB$31:AB31),COLUMNS($V31:AB31))</f>
        <v>0</v>
      </c>
      <c r="AC31" s="75">
        <f>INDEX(Tier_67,MATCH($R$31,T_67,0)+1+ROWS(AC$31:AC31),COLUMNS($V31:AC31))</f>
        <v>0</v>
      </c>
      <c r="AD31" s="73">
        <f>INDEX(Tier_67,MATCH($R$31,T_67,0)+1+ROWS(AD$31:AD31),COLUMNS($V31:AD31))</f>
        <v>2</v>
      </c>
      <c r="AE31" s="76">
        <f>INDEX(Tier_67,MATCH($R$31,T_67,0)+1+ROWS(AE$31:AE31),COLUMNS($V31:AE31))</f>
        <v>10</v>
      </c>
      <c r="AF31" s="74">
        <f>INDEX(Tier_67,MATCH($R$31,T_67,0)+1+ROWS(AF$31:AF31),COLUMNS($V31:AF31))</f>
        <v>0</v>
      </c>
      <c r="AG31" s="75">
        <f>INDEX(Tier_67,MATCH($R$31,T_67,0)+1+ROWS(AG$31:AG31),COLUMNS($V31:AG31))</f>
        <v>0</v>
      </c>
    </row>
    <row r="32" spans="1:33" ht="55" customHeight="1" thickBot="1" x14ac:dyDescent="0.25">
      <c r="A32" s="11"/>
      <c r="B32" s="10"/>
      <c r="C32" s="127"/>
      <c r="D32" s="120"/>
      <c r="E32" s="77"/>
      <c r="F32" s="78"/>
      <c r="G32" s="79"/>
      <c r="H32" s="80"/>
      <c r="I32" s="77"/>
      <c r="J32" s="78"/>
      <c r="K32" s="79"/>
      <c r="L32" s="80"/>
      <c r="M32" s="77"/>
      <c r="N32" s="78"/>
      <c r="O32" s="79"/>
      <c r="P32" s="80"/>
      <c r="Q32" s="40"/>
      <c r="R32" s="40"/>
      <c r="S32" s="68"/>
      <c r="T32" s="127"/>
      <c r="U32" s="120"/>
      <c r="V32" s="77"/>
      <c r="W32" s="78"/>
      <c r="X32" s="79"/>
      <c r="Y32" s="80"/>
      <c r="Z32" s="77"/>
      <c r="AA32" s="78"/>
      <c r="AB32" s="79"/>
      <c r="AC32" s="80"/>
      <c r="AD32" s="77"/>
      <c r="AE32" s="78"/>
      <c r="AF32" s="79"/>
      <c r="AG32" s="80"/>
    </row>
    <row r="33" spans="1:50" ht="55" customHeight="1" x14ac:dyDescent="0.2">
      <c r="A33" s="23" t="s">
        <v>117</v>
      </c>
      <c r="B33" s="24" t="s">
        <v>42</v>
      </c>
      <c r="C33" s="127"/>
      <c r="D33" s="119" t="s">
        <v>141</v>
      </c>
      <c r="E33" s="73">
        <f>INDEX(Tier_67,MATCH($A$33,T_67,0)+1+ROWS(E$33:E33),COLUMNS($E33:E33))</f>
        <v>2</v>
      </c>
      <c r="F33" s="76">
        <f>INDEX(Tier_67,MATCH($A$33,T_67,0)+1+ROWS(F$33:F33),COLUMNS($E33:F33))</f>
        <v>10</v>
      </c>
      <c r="G33" s="74">
        <f>INDEX(Tier_67,MATCH($A$33,T_67,0)+1+ROWS(G$33:G33),COLUMNS($E33:G33))</f>
        <v>0</v>
      </c>
      <c r="H33" s="75"/>
      <c r="I33" s="73">
        <f>INDEX(Tier_67,MATCH($A$33,T_67,0)+1+ROWS(I$33:I33),COLUMNS($E33:I33))</f>
        <v>2</v>
      </c>
      <c r="J33" s="76">
        <f>INDEX(Tier_67,MATCH($A$33,T_67,0)+1+ROWS(J$33:J33),COLUMNS($E33:J33))</f>
        <v>10</v>
      </c>
      <c r="K33" s="74">
        <f>INDEX(Tier_67,MATCH($A$33,T_67,0)+1+ROWS(K$33:K33),COLUMNS($E33:K33))</f>
        <v>0</v>
      </c>
      <c r="L33" s="75"/>
      <c r="M33" s="73">
        <f>INDEX(Tier_67,MATCH($A$33,T_67,0)+1+ROWS(M$33:M33),COLUMNS($E33:M33))</f>
        <v>2</v>
      </c>
      <c r="N33" s="76">
        <f>INDEX(Tier_67,MATCH($A$33,T_67,0)+1+ROWS(N$33:N33),COLUMNS($E33:N33))</f>
        <v>10</v>
      </c>
      <c r="O33" s="74">
        <f>INDEX(Tier_67,MATCH($A$33,T_67,0)+1+ROWS(O$33:O33),COLUMNS($E33:O33))</f>
        <v>0</v>
      </c>
      <c r="P33" s="75"/>
      <c r="Q33" s="40"/>
      <c r="R33" s="41" t="s">
        <v>31</v>
      </c>
      <c r="S33" s="42" t="s">
        <v>103</v>
      </c>
      <c r="T33" s="127"/>
      <c r="U33" s="119" t="s">
        <v>82</v>
      </c>
      <c r="V33" s="73">
        <f>INDEX(Tier_67,MATCH($R$33,T_67,0)+1+ROWS(V$33:V33),COLUMNS($V33:V33))</f>
        <v>2</v>
      </c>
      <c r="W33" s="76">
        <f>INDEX(Tier_67,MATCH($R$33,T_67,0)+1+ROWS(W$33:W33),COLUMNS($V33:W33))</f>
        <v>15</v>
      </c>
      <c r="X33" s="74">
        <f>INDEX(Tier_67,MATCH($R$33,T_67,0)+1+ROWS(X$33:X33),COLUMNS($V33:X33))</f>
        <v>0</v>
      </c>
      <c r="Y33" s="75">
        <f>INDEX(Tier_67,MATCH($R$33,T_67,0)+1+ROWS(Y$33:Y33),COLUMNS($V33:Y33))</f>
        <v>0</v>
      </c>
      <c r="Z33" s="73">
        <f>INDEX(Tier_67,MATCH($R$33,T_67,0)+1+ROWS(Z$33:Z33),COLUMNS($V33:Z33))</f>
        <v>2</v>
      </c>
      <c r="AA33" s="76">
        <f>INDEX(Tier_67,MATCH($R$33,T_67,0)+1+ROWS(AA$33:AA33),COLUMNS($V33:AA33))</f>
        <v>12</v>
      </c>
      <c r="AB33" s="74">
        <f>INDEX(Tier_67,MATCH($R$33,T_67,0)+1+ROWS(AB$33:AB33),COLUMNS($V33:AB33))</f>
        <v>0</v>
      </c>
      <c r="AC33" s="75">
        <f>INDEX(Tier_67,MATCH($R$33,T_67,0)+1+ROWS(AC$33:AC33),COLUMNS($V33:AC33))</f>
        <v>0</v>
      </c>
      <c r="AD33" s="73">
        <f>INDEX(Tier_67,MATCH($R$33,T_67,0)+1+ROWS(AD$33:AD33),COLUMNS($V33:AD33))</f>
        <v>2</v>
      </c>
      <c r="AE33" s="76">
        <f>INDEX(Tier_67,MATCH($R$33,T_67,0)+1+ROWS(AE$33:AE33),COLUMNS($V33:AE33))</f>
        <v>10</v>
      </c>
      <c r="AF33" s="74">
        <f>INDEX(Tier_67,MATCH($R$33,T_67,0)+1+ROWS(AF$33:AF33),COLUMNS($V33:AF33))</f>
        <v>0</v>
      </c>
      <c r="AG33" s="75">
        <f>INDEX(Tier_67,MATCH($R$33,T_67,0)+1+ROWS(AG$33:AG33),COLUMNS($V33:AG33))</f>
        <v>0</v>
      </c>
    </row>
    <row r="34" spans="1:50" ht="55" customHeight="1" thickBot="1" x14ac:dyDescent="0.25">
      <c r="A34" s="11"/>
      <c r="B34" s="10"/>
      <c r="C34" s="127"/>
      <c r="D34" s="120"/>
      <c r="E34" s="77"/>
      <c r="F34" s="78"/>
      <c r="G34" s="79"/>
      <c r="H34" s="80"/>
      <c r="I34" s="77"/>
      <c r="J34" s="78"/>
      <c r="K34" s="79"/>
      <c r="L34" s="80"/>
      <c r="M34" s="77"/>
      <c r="N34" s="78"/>
      <c r="O34" s="79"/>
      <c r="P34" s="80"/>
      <c r="Q34" s="40"/>
      <c r="R34" s="40"/>
      <c r="S34" s="68"/>
      <c r="T34" s="127"/>
      <c r="U34" s="120"/>
      <c r="V34" s="77"/>
      <c r="W34" s="78"/>
      <c r="X34" s="79"/>
      <c r="Y34" s="80"/>
      <c r="Z34" s="77"/>
      <c r="AA34" s="78"/>
      <c r="AB34" s="79"/>
      <c r="AC34" s="80"/>
      <c r="AD34" s="77"/>
      <c r="AE34" s="78"/>
      <c r="AF34" s="79"/>
      <c r="AG34" s="80"/>
    </row>
    <row r="35" spans="1:50" ht="55" customHeight="1" x14ac:dyDescent="0.2">
      <c r="A35" s="23" t="s">
        <v>117</v>
      </c>
      <c r="B35" s="24" t="s">
        <v>43</v>
      </c>
      <c r="C35" s="127"/>
      <c r="D35" s="119" t="s">
        <v>99</v>
      </c>
      <c r="E35" s="73">
        <f>INDEX(Tier_67,MATCH($A$35,T_67,0)+1+ROWS(E$35:E35),COLUMNS($E35:E35))</f>
        <v>2</v>
      </c>
      <c r="F35" s="104">
        <f>INDEX(Tier_67,MATCH($A$35,T_67,0)+1+ROWS(F$35:F35),COLUMNS($E35:F35))</f>
        <v>10</v>
      </c>
      <c r="G35" s="74">
        <f>INDEX(Tier_67,MATCH($A$35,T_67,0)+1+ROWS(G$35:G35),COLUMNS($E35:G35))</f>
        <v>0</v>
      </c>
      <c r="H35" s="75"/>
      <c r="I35" s="73">
        <f>INDEX(Tier_67,MATCH($A$35,T_67,0)+1+ROWS(I$35:I35),COLUMNS($E35:I35))</f>
        <v>2</v>
      </c>
      <c r="J35" s="104">
        <f>INDEX(Tier_67,MATCH($A$35,T_67,0)+1+ROWS(J$35:J35),COLUMNS($E35:J35))</f>
        <v>10</v>
      </c>
      <c r="K35" s="74">
        <f>INDEX(Tier_67,MATCH($A$35,T_67,0)+1+ROWS(K$35:K35),COLUMNS($E35:K35))</f>
        <v>0</v>
      </c>
      <c r="L35" s="75"/>
      <c r="M35" s="73">
        <f>INDEX(Tier_67,MATCH($A$35,T_67,0)+1+ROWS(M$35:M35),COLUMNS($E35:M35))</f>
        <v>2</v>
      </c>
      <c r="N35" s="104">
        <f>INDEX(Tier_67,MATCH($A$35,T_67,0)+1+ROWS(N$35:N35),COLUMNS($E35:N35))</f>
        <v>10</v>
      </c>
      <c r="O35" s="74">
        <f>INDEX(Tier_67,MATCH($A$35,T_67,0)+1+ROWS(O$35:O35),COLUMNS($E35:O35))</f>
        <v>0</v>
      </c>
      <c r="P35" s="75"/>
      <c r="Q35" s="40"/>
      <c r="R35" s="41" t="s">
        <v>117</v>
      </c>
      <c r="S35" s="42" t="s">
        <v>43</v>
      </c>
      <c r="T35" s="127"/>
      <c r="U35" s="119" t="s">
        <v>116</v>
      </c>
      <c r="V35" s="73">
        <f>INDEX(Tier_67,MATCH($R$35,T_67,0)+1+ROWS(V$35:V35),COLUMNS($V35:V35))</f>
        <v>2</v>
      </c>
      <c r="W35" s="76">
        <f>INDEX(Tier_67,MATCH($R$35,T_67,0)+1+ROWS(W$35:W35),COLUMNS($V35:W35))</f>
        <v>10</v>
      </c>
      <c r="X35" s="74">
        <f>INDEX(Tier_67,MATCH($R$35,T_67,0)+1+ROWS(X$35:X35),COLUMNS($V35:X35))</f>
        <v>0</v>
      </c>
      <c r="Y35" s="75">
        <f>INDEX(Tier_67,MATCH($R$35,T_67,0)+1+ROWS(Y$35:Y35),COLUMNS($V35:Y35))</f>
        <v>0</v>
      </c>
      <c r="Z35" s="73">
        <f>INDEX(Tier_67,MATCH($R$35,T_67,0)+1+ROWS(Z$35:Z35),COLUMNS($V35:Z35))</f>
        <v>2</v>
      </c>
      <c r="AA35" s="76">
        <f>INDEX(Tier_67,MATCH($R$35,T_67,0)+1+ROWS(AA$35:AA35),COLUMNS($V35:AA35))</f>
        <v>10</v>
      </c>
      <c r="AB35" s="74">
        <f>INDEX(Tier_67,MATCH($R$35,T_67,0)+1+ROWS(AB$35:AB35),COLUMNS($V35:AB35))</f>
        <v>0</v>
      </c>
      <c r="AC35" s="75">
        <f>INDEX(Tier_67,MATCH($R$35,T_67,0)+1+ROWS(AC$35:AC35),COLUMNS($V35:AC35))</f>
        <v>0</v>
      </c>
      <c r="AD35" s="73">
        <f>INDEX(Tier_67,MATCH($R$35,T_67,0)+1+ROWS(AD$35:AD35),COLUMNS($V35:AD35))</f>
        <v>2</v>
      </c>
      <c r="AE35" s="76">
        <f>INDEX(Tier_67,MATCH($R$35,T_67,0)+1+ROWS(AE$35:AE35),COLUMNS($V35:AE35))</f>
        <v>10</v>
      </c>
      <c r="AF35" s="74">
        <f>INDEX(Tier_67,MATCH($R$35,T_67,0)+1+ROWS(AF$35:AF35),COLUMNS($V35:AF35))</f>
        <v>0</v>
      </c>
      <c r="AG35" s="75">
        <f>INDEX(Tier_67,MATCH($R$35,T_67,0)+1+ROWS(AG$35:AG35),COLUMNS($V35:AG35))</f>
        <v>0</v>
      </c>
    </row>
    <row r="36" spans="1:50" ht="55" customHeight="1" thickBot="1" x14ac:dyDescent="0.25">
      <c r="A36" s="11"/>
      <c r="B36" s="10"/>
      <c r="C36" s="128"/>
      <c r="D36" s="120"/>
      <c r="E36" s="77"/>
      <c r="F36" s="78"/>
      <c r="G36" s="79"/>
      <c r="H36" s="80"/>
      <c r="I36" s="77"/>
      <c r="J36" s="78"/>
      <c r="K36" s="79"/>
      <c r="L36" s="80"/>
      <c r="M36" s="77"/>
      <c r="N36" s="78"/>
      <c r="O36" s="79"/>
      <c r="P36" s="80"/>
      <c r="Q36" s="40"/>
      <c r="R36" s="40"/>
      <c r="S36" s="68"/>
      <c r="T36" s="128"/>
      <c r="U36" s="120"/>
      <c r="V36" s="77"/>
      <c r="W36" s="78"/>
      <c r="X36" s="79"/>
      <c r="Y36" s="80"/>
      <c r="Z36" s="77"/>
      <c r="AA36" s="78"/>
      <c r="AB36" s="79"/>
      <c r="AC36" s="80"/>
      <c r="AD36" s="77"/>
      <c r="AE36" s="78"/>
      <c r="AF36" s="79"/>
      <c r="AG36" s="80"/>
    </row>
    <row r="37" spans="1:50" ht="40" customHeight="1" thickBot="1" x14ac:dyDescent="0.25">
      <c r="A37" s="11"/>
      <c r="B37" s="12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2"/>
    </row>
    <row r="38" spans="1:50" ht="62" x14ac:dyDescent="0.2">
      <c r="A38" s="93"/>
      <c r="B38" s="10"/>
      <c r="C38" s="162" t="s">
        <v>146</v>
      </c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4"/>
      <c r="Q38" s="81"/>
      <c r="R38" s="81"/>
      <c r="S38" s="81"/>
      <c r="T38" s="162" t="s">
        <v>146</v>
      </c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4"/>
    </row>
    <row r="39" spans="1:50" ht="50" customHeight="1" x14ac:dyDescent="0.2">
      <c r="A39" s="93"/>
      <c r="B39" s="10"/>
      <c r="C39" s="189"/>
      <c r="D39" s="190"/>
      <c r="E39" s="190"/>
      <c r="F39" s="190"/>
      <c r="G39" s="190"/>
      <c r="H39" s="190"/>
      <c r="I39" s="191"/>
      <c r="J39" s="174"/>
      <c r="K39" s="190"/>
      <c r="L39" s="190"/>
      <c r="M39" s="190"/>
      <c r="N39" s="190"/>
      <c r="O39" s="190"/>
      <c r="P39" s="191"/>
      <c r="Q39" s="81"/>
      <c r="R39" s="81"/>
      <c r="S39" s="81"/>
      <c r="T39" s="181"/>
      <c r="U39" s="182"/>
      <c r="V39" s="182"/>
      <c r="W39" s="182"/>
      <c r="X39" s="182"/>
      <c r="Y39" s="182"/>
      <c r="Z39" s="182"/>
      <c r="AA39" s="166"/>
      <c r="AB39" s="185"/>
      <c r="AC39" s="185"/>
      <c r="AD39" s="185"/>
      <c r="AE39" s="185"/>
      <c r="AF39" s="185"/>
      <c r="AG39" s="186"/>
    </row>
    <row r="40" spans="1:50" ht="50" customHeight="1" x14ac:dyDescent="0.2">
      <c r="A40" s="93"/>
      <c r="B40" s="10"/>
      <c r="C40" s="192"/>
      <c r="D40" s="190"/>
      <c r="E40" s="190"/>
      <c r="F40" s="190"/>
      <c r="G40" s="190"/>
      <c r="H40" s="190"/>
      <c r="I40" s="191"/>
      <c r="J40" s="190"/>
      <c r="K40" s="190"/>
      <c r="L40" s="190"/>
      <c r="M40" s="190"/>
      <c r="N40" s="190"/>
      <c r="O40" s="190"/>
      <c r="P40" s="191"/>
      <c r="Q40" s="81"/>
      <c r="R40" s="81"/>
      <c r="S40" s="81"/>
      <c r="T40" s="181"/>
      <c r="U40" s="182"/>
      <c r="V40" s="182"/>
      <c r="W40" s="182"/>
      <c r="X40" s="182"/>
      <c r="Y40" s="182"/>
      <c r="Z40" s="182"/>
      <c r="AA40" s="185"/>
      <c r="AB40" s="185"/>
      <c r="AC40" s="185"/>
      <c r="AD40" s="185"/>
      <c r="AE40" s="185"/>
      <c r="AF40" s="185"/>
      <c r="AG40" s="186"/>
    </row>
    <row r="41" spans="1:50" ht="50" customHeight="1" x14ac:dyDescent="0.2">
      <c r="A41" s="93"/>
      <c r="B41" s="10"/>
      <c r="C41" s="192"/>
      <c r="D41" s="190"/>
      <c r="E41" s="190"/>
      <c r="F41" s="190"/>
      <c r="G41" s="190"/>
      <c r="H41" s="190"/>
      <c r="I41" s="191"/>
      <c r="J41" s="190"/>
      <c r="K41" s="190"/>
      <c r="L41" s="190"/>
      <c r="M41" s="190"/>
      <c r="N41" s="190"/>
      <c r="O41" s="190"/>
      <c r="P41" s="191"/>
      <c r="Q41" s="81"/>
      <c r="R41" s="81"/>
      <c r="S41" s="81"/>
      <c r="T41" s="181"/>
      <c r="U41" s="182"/>
      <c r="V41" s="182"/>
      <c r="W41" s="182"/>
      <c r="X41" s="182"/>
      <c r="Y41" s="182"/>
      <c r="Z41" s="182"/>
      <c r="AA41" s="185"/>
      <c r="AB41" s="185"/>
      <c r="AC41" s="185"/>
      <c r="AD41" s="185"/>
      <c r="AE41" s="185"/>
      <c r="AF41" s="185"/>
      <c r="AG41" s="186"/>
    </row>
    <row r="42" spans="1:50" ht="50" customHeight="1" thickBot="1" x14ac:dyDescent="0.25">
      <c r="A42" s="94"/>
      <c r="B42" s="95"/>
      <c r="C42" s="193"/>
      <c r="D42" s="194"/>
      <c r="E42" s="194"/>
      <c r="F42" s="194"/>
      <c r="G42" s="194"/>
      <c r="H42" s="194"/>
      <c r="I42" s="195"/>
      <c r="J42" s="194"/>
      <c r="K42" s="194"/>
      <c r="L42" s="194"/>
      <c r="M42" s="194"/>
      <c r="N42" s="194"/>
      <c r="O42" s="194"/>
      <c r="P42" s="195"/>
      <c r="Q42" s="83"/>
      <c r="R42" s="83"/>
      <c r="S42" s="83"/>
      <c r="T42" s="183"/>
      <c r="U42" s="184"/>
      <c r="V42" s="184"/>
      <c r="W42" s="184"/>
      <c r="X42" s="184"/>
      <c r="Y42" s="184"/>
      <c r="Z42" s="184"/>
      <c r="AA42" s="187"/>
      <c r="AB42" s="187"/>
      <c r="AC42" s="187"/>
      <c r="AD42" s="187"/>
      <c r="AE42" s="187"/>
      <c r="AF42" s="187"/>
      <c r="AG42" s="188"/>
    </row>
    <row r="43" spans="1:50" ht="40" customHeight="1" x14ac:dyDescent="0.2">
      <c r="A43" s="93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</row>
    <row r="44" spans="1:50" ht="40" customHeight="1" x14ac:dyDescent="0.2">
      <c r="A44" s="93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</row>
    <row r="45" spans="1:50" ht="40" customHeight="1" x14ac:dyDescent="0.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</row>
  </sheetData>
  <mergeCells count="58">
    <mergeCell ref="D28:D29"/>
    <mergeCell ref="U28:U29"/>
    <mergeCell ref="C21:C24"/>
    <mergeCell ref="C16:C20"/>
    <mergeCell ref="U35:U36"/>
    <mergeCell ref="D21:D23"/>
    <mergeCell ref="T21:T24"/>
    <mergeCell ref="D16:D19"/>
    <mergeCell ref="T16:T20"/>
    <mergeCell ref="U16:U19"/>
    <mergeCell ref="C10:C15"/>
    <mergeCell ref="D10:D13"/>
    <mergeCell ref="T10:T15"/>
    <mergeCell ref="U10:U13"/>
    <mergeCell ref="C31:C36"/>
    <mergeCell ref="D31:D32"/>
    <mergeCell ref="T31:T36"/>
    <mergeCell ref="U31:U32"/>
    <mergeCell ref="D33:D34"/>
    <mergeCell ref="U33:U34"/>
    <mergeCell ref="D35:D36"/>
    <mergeCell ref="C25:C30"/>
    <mergeCell ref="D25:D26"/>
    <mergeCell ref="T25:T30"/>
    <mergeCell ref="U25:U26"/>
    <mergeCell ref="U21:U23"/>
    <mergeCell ref="C8:C9"/>
    <mergeCell ref="E8:H8"/>
    <mergeCell ref="I8:L8"/>
    <mergeCell ref="M8:P8"/>
    <mergeCell ref="T8:T9"/>
    <mergeCell ref="X3:X4"/>
    <mergeCell ref="Y3:Y4"/>
    <mergeCell ref="V8:Y8"/>
    <mergeCell ref="Z8:AC8"/>
    <mergeCell ref="AD8:AG8"/>
    <mergeCell ref="T38:AG38"/>
    <mergeCell ref="C38:P38"/>
    <mergeCell ref="T39:Z42"/>
    <mergeCell ref="AA39:AG42"/>
    <mergeCell ref="C39:I42"/>
    <mergeCell ref="J39:P42"/>
    <mergeCell ref="C1:P6"/>
    <mergeCell ref="Z3:AG6"/>
    <mergeCell ref="T5:U6"/>
    <mergeCell ref="V5:V6"/>
    <mergeCell ref="W5:W6"/>
    <mergeCell ref="X5:X6"/>
    <mergeCell ref="Y5:Y6"/>
    <mergeCell ref="T1:U2"/>
    <mergeCell ref="V1:V2"/>
    <mergeCell ref="W1:W2"/>
    <mergeCell ref="X1:X2"/>
    <mergeCell ref="Y1:Y2"/>
    <mergeCell ref="Z1:AG2"/>
    <mergeCell ref="T3:U4"/>
    <mergeCell ref="V3:V4"/>
    <mergeCell ref="W3:W4"/>
  </mergeCells>
  <dataValidations count="21">
    <dataValidation type="list" allowBlank="1" showInputMessage="1" showErrorMessage="1" sqref="D33:D34" xr:uid="{00000000-0002-0000-0100-000000000000}">
      <formula1>INDIRECT($B$33)</formula1>
    </dataValidation>
    <dataValidation type="list" allowBlank="1" showInputMessage="1" showErrorMessage="1" sqref="D28:D29" xr:uid="{00000000-0002-0000-0100-000001000000}">
      <formula1>INDIRECT($B$28)</formula1>
    </dataValidation>
    <dataValidation type="list" allowBlank="1" showInputMessage="1" showErrorMessage="1" sqref="D35:D36" xr:uid="{00000000-0002-0000-0100-000002000000}">
      <formula1>INDIRECT($B$35)</formula1>
    </dataValidation>
    <dataValidation type="list" allowBlank="1" showInputMessage="1" showErrorMessage="1" sqref="D31:D32" xr:uid="{00000000-0002-0000-0100-000003000000}">
      <formula1>INDIRECT($B$31)</formula1>
    </dataValidation>
    <dataValidation type="list" allowBlank="1" showInputMessage="1" showErrorMessage="1" sqref="D25" xr:uid="{00000000-0002-0000-0100-000004000000}">
      <formula1>INDIRECT($B$25)</formula1>
    </dataValidation>
    <dataValidation type="list" allowBlank="1" showInputMessage="1" showErrorMessage="1" sqref="U21" xr:uid="{00000000-0002-0000-0100-000005000000}">
      <formula1>INDIRECT($S$21)</formula1>
    </dataValidation>
    <dataValidation type="list" allowBlank="1" showInputMessage="1" showErrorMessage="1" sqref="U16:U19" xr:uid="{00000000-0002-0000-0100-000006000000}">
      <formula1>INDIRECT($S$16)</formula1>
    </dataValidation>
    <dataValidation type="list" allowBlank="1" showInputMessage="1" showErrorMessage="1" sqref="U35:U36" xr:uid="{00000000-0002-0000-0100-000007000000}">
      <formula1>INDIRECT($S$35)</formula1>
    </dataValidation>
    <dataValidation type="list" allowBlank="1" showInputMessage="1" showErrorMessage="1" sqref="U31:U32" xr:uid="{00000000-0002-0000-0100-000008000000}">
      <formula1>INDIRECT($S$31)</formula1>
    </dataValidation>
    <dataValidation type="list" allowBlank="1" showInputMessage="1" showErrorMessage="1" sqref="U28" xr:uid="{00000000-0002-0000-0100-000009000000}">
      <formula1>INDIRECT($S$28)</formula1>
    </dataValidation>
    <dataValidation type="list" allowBlank="1" showInputMessage="1" showErrorMessage="1" sqref="U33:U34" xr:uid="{00000000-0002-0000-0100-00000A000000}">
      <formula1>INDIRECT($S$33)</formula1>
    </dataValidation>
    <dataValidation type="list" allowBlank="1" showInputMessage="1" showErrorMessage="1" sqref="U25" xr:uid="{00000000-0002-0000-0100-00000B000000}">
      <formula1>INDIRECT($S$25)</formula1>
    </dataValidation>
    <dataValidation type="list" allowBlank="1" showInputMessage="1" showErrorMessage="1" sqref="D21" xr:uid="{00000000-0002-0000-0100-00000C000000}">
      <formula1>INDIRECT($B$21)</formula1>
    </dataValidation>
    <dataValidation type="list" allowBlank="1" showInputMessage="1" showErrorMessage="1" sqref="D16" xr:uid="{00000000-0002-0000-0100-00000D000000}">
      <formula1>INDIRECT($B$16)</formula1>
    </dataValidation>
    <dataValidation type="list" allowBlank="1" showInputMessage="1" showErrorMessage="1" sqref="D10 U10" xr:uid="{00000000-0002-0000-0100-00000E000000}">
      <formula1>INDIRECT(B10)</formula1>
    </dataValidation>
    <dataValidation type="list" allowBlank="1" showInputMessage="1" showErrorMessage="1" sqref="B10 B16 B21 B25 B28 B31 B33 B35 S10 S16 S21 S25 S28 S31 S33 S35" xr:uid="{00000000-0002-0000-0100-00000F000000}">
      <formula1>Catagories</formula1>
    </dataValidation>
    <dataValidation type="list" allowBlank="1" showInputMessage="1" showErrorMessage="1" sqref="A31 A33 A35 R31 R33 R35" xr:uid="{00000000-0002-0000-0100-000010000000}">
      <formula1>Tier_67_Names</formula1>
    </dataValidation>
    <dataValidation type="list" allowBlank="1" showInputMessage="1" showErrorMessage="1" sqref="A25 A28 R25 R28" xr:uid="{00000000-0002-0000-0100-000011000000}">
      <formula1>Tier_45_Names</formula1>
    </dataValidation>
    <dataValidation type="list" allowBlank="1" showInputMessage="1" showErrorMessage="1" sqref="A21 R21" xr:uid="{00000000-0002-0000-0100-000012000000}">
      <formula1>Tier_3_Names</formula1>
    </dataValidation>
    <dataValidation type="list" allowBlank="1" showInputMessage="1" showErrorMessage="1" sqref="A10 A16 R10 R16" xr:uid="{00000000-0002-0000-0100-000013000000}">
      <formula1>Tier_12_Names</formula1>
    </dataValidation>
    <dataValidation type="list" allowBlank="1" showInputMessage="1" showErrorMessage="1" sqref="C1" xr:uid="{00000000-0002-0000-0100-000014000000}">
      <formula1>Athletes</formula1>
    </dataValidation>
  </dataValidations>
  <printOptions horizontalCentered="1"/>
  <pageMargins left="0" right="0" top="0" bottom="0" header="0.3" footer="0.3"/>
  <pageSetup scale="33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Z36"/>
  <sheetViews>
    <sheetView topLeftCell="K1" zoomScale="85" zoomScaleNormal="85" workbookViewId="0">
      <selection activeCell="AA14" sqref="AA14"/>
    </sheetView>
  </sheetViews>
  <sheetFormatPr baseColWidth="10" defaultColWidth="8.83203125" defaultRowHeight="15" x14ac:dyDescent="0.2"/>
  <cols>
    <col min="1" max="1" width="18.33203125" bestFit="1" customWidth="1"/>
    <col min="4" max="4" width="10.33203125" bestFit="1" customWidth="1"/>
    <col min="5" max="5" width="10.33203125" customWidth="1"/>
    <col min="8" max="8" width="10.33203125" bestFit="1" customWidth="1"/>
    <col min="9" max="9" width="10.33203125" customWidth="1"/>
    <col min="12" max="12" width="10.33203125" bestFit="1" customWidth="1"/>
    <col min="13" max="13" width="10.33203125" customWidth="1"/>
  </cols>
  <sheetData>
    <row r="1" spans="1:52" ht="16" thickBot="1" x14ac:dyDescent="0.25">
      <c r="A1" t="s">
        <v>24</v>
      </c>
      <c r="B1" s="199" t="s">
        <v>24</v>
      </c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1"/>
      <c r="N1" t="s">
        <v>22</v>
      </c>
      <c r="O1" s="199" t="s">
        <v>22</v>
      </c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1"/>
      <c r="AA1" t="s">
        <v>30</v>
      </c>
      <c r="AB1" s="199" t="s">
        <v>30</v>
      </c>
      <c r="AC1" s="200"/>
      <c r="AD1" s="200"/>
      <c r="AE1" s="200"/>
      <c r="AF1" s="200"/>
      <c r="AG1" s="200"/>
      <c r="AH1" s="200"/>
      <c r="AI1" s="200"/>
      <c r="AJ1" s="200"/>
      <c r="AK1" s="200"/>
      <c r="AL1" s="200"/>
      <c r="AM1" s="201"/>
      <c r="AN1" t="s">
        <v>31</v>
      </c>
      <c r="AO1" s="199" t="s">
        <v>31</v>
      </c>
      <c r="AP1" s="200"/>
      <c r="AQ1" s="200"/>
      <c r="AR1" s="200"/>
      <c r="AS1" s="200"/>
      <c r="AT1" s="200"/>
      <c r="AU1" s="200"/>
      <c r="AV1" s="200"/>
      <c r="AW1" s="200"/>
      <c r="AX1" s="200"/>
      <c r="AY1" s="200"/>
      <c r="AZ1" s="201"/>
    </row>
    <row r="2" spans="1:52" ht="16" thickBot="1" x14ac:dyDescent="0.25">
      <c r="A2" t="s">
        <v>7</v>
      </c>
      <c r="B2" s="2" t="s">
        <v>1</v>
      </c>
      <c r="C2" s="1" t="s">
        <v>6</v>
      </c>
      <c r="D2" s="1" t="s">
        <v>0</v>
      </c>
      <c r="E2" s="3" t="s">
        <v>40</v>
      </c>
      <c r="F2" s="2" t="s">
        <v>1</v>
      </c>
      <c r="G2" s="1" t="s">
        <v>6</v>
      </c>
      <c r="H2" s="1" t="s">
        <v>0</v>
      </c>
      <c r="I2" s="3" t="s">
        <v>40</v>
      </c>
      <c r="J2" s="2" t="s">
        <v>1</v>
      </c>
      <c r="K2" s="1" t="s">
        <v>6</v>
      </c>
      <c r="L2" s="1" t="s">
        <v>0</v>
      </c>
      <c r="M2" s="18" t="s">
        <v>40</v>
      </c>
      <c r="N2" s="15" t="s">
        <v>21</v>
      </c>
      <c r="O2" s="2" t="s">
        <v>1</v>
      </c>
      <c r="P2" s="1" t="s">
        <v>6</v>
      </c>
      <c r="Q2" s="1" t="s">
        <v>0</v>
      </c>
      <c r="R2" s="3"/>
      <c r="S2" s="2" t="s">
        <v>1</v>
      </c>
      <c r="T2" s="1" t="s">
        <v>6</v>
      </c>
      <c r="U2" s="1" t="s">
        <v>0</v>
      </c>
      <c r="V2" s="3"/>
      <c r="W2" s="2" t="s">
        <v>1</v>
      </c>
      <c r="X2" s="1" t="s">
        <v>6</v>
      </c>
      <c r="Y2" s="1" t="s">
        <v>0</v>
      </c>
      <c r="Z2" s="18"/>
      <c r="AA2" t="s">
        <v>23</v>
      </c>
      <c r="AB2" s="2" t="s">
        <v>1</v>
      </c>
      <c r="AC2" s="1" t="s">
        <v>6</v>
      </c>
      <c r="AD2" s="1" t="s">
        <v>0</v>
      </c>
      <c r="AE2" s="3"/>
      <c r="AF2" s="2" t="s">
        <v>1</v>
      </c>
      <c r="AG2" s="1" t="s">
        <v>6</v>
      </c>
      <c r="AH2" s="1" t="s">
        <v>0</v>
      </c>
      <c r="AI2" s="3"/>
      <c r="AJ2" s="2" t="s">
        <v>1</v>
      </c>
      <c r="AK2" s="1" t="s">
        <v>6</v>
      </c>
      <c r="AL2" s="1" t="s">
        <v>0</v>
      </c>
      <c r="AM2" s="18"/>
      <c r="AN2" t="s">
        <v>32</v>
      </c>
      <c r="AO2" s="2" t="s">
        <v>1</v>
      </c>
      <c r="AP2" s="1" t="s">
        <v>6</v>
      </c>
      <c r="AQ2" s="1" t="s">
        <v>0</v>
      </c>
      <c r="AR2" s="3"/>
      <c r="AS2" s="2" t="s">
        <v>1</v>
      </c>
      <c r="AT2" s="1" t="s">
        <v>6</v>
      </c>
      <c r="AU2" s="1" t="s">
        <v>0</v>
      </c>
      <c r="AV2" s="3"/>
      <c r="AW2" s="2" t="s">
        <v>1</v>
      </c>
      <c r="AX2" s="1" t="s">
        <v>6</v>
      </c>
      <c r="AY2" s="1" t="s">
        <v>0</v>
      </c>
      <c r="AZ2" s="18"/>
    </row>
    <row r="3" spans="1:52" ht="16" thickBot="1" x14ac:dyDescent="0.25">
      <c r="A3" t="s">
        <v>25</v>
      </c>
      <c r="B3" s="4">
        <v>5</v>
      </c>
      <c r="C3" s="5">
        <v>6</v>
      </c>
      <c r="D3" s="16">
        <v>0.6</v>
      </c>
      <c r="E3" s="6"/>
      <c r="F3" s="4">
        <v>6</v>
      </c>
      <c r="G3" s="5">
        <v>6</v>
      </c>
      <c r="H3" s="17">
        <v>0.67500000000000004</v>
      </c>
      <c r="I3" s="7"/>
      <c r="J3" s="4">
        <v>5</v>
      </c>
      <c r="K3" s="5">
        <v>6</v>
      </c>
      <c r="L3" s="16">
        <v>0.75</v>
      </c>
      <c r="M3" s="6"/>
      <c r="O3" s="4">
        <v>4</v>
      </c>
      <c r="P3" s="5">
        <v>3</v>
      </c>
      <c r="Q3" s="16"/>
      <c r="R3" s="21" t="s">
        <v>104</v>
      </c>
      <c r="S3" s="4">
        <v>4</v>
      </c>
      <c r="T3" s="5">
        <v>2</v>
      </c>
      <c r="U3" s="17"/>
      <c r="V3" s="21" t="s">
        <v>104</v>
      </c>
      <c r="W3" s="4">
        <v>4</v>
      </c>
      <c r="X3" s="5">
        <v>1</v>
      </c>
      <c r="Y3" s="16"/>
      <c r="Z3" s="21" t="s">
        <v>104</v>
      </c>
      <c r="AA3" t="s">
        <v>142</v>
      </c>
      <c r="AB3" s="4">
        <v>3</v>
      </c>
      <c r="AC3" s="5">
        <v>12</v>
      </c>
      <c r="AD3" s="16"/>
      <c r="AE3" s="6"/>
      <c r="AF3" s="4">
        <v>3</v>
      </c>
      <c r="AG3" s="5">
        <v>10</v>
      </c>
      <c r="AH3" s="17"/>
      <c r="AI3" s="7"/>
      <c r="AJ3" s="4">
        <v>3</v>
      </c>
      <c r="AK3" s="5">
        <v>8</v>
      </c>
      <c r="AL3" s="16"/>
      <c r="AM3" s="6"/>
      <c r="AN3" t="s">
        <v>110</v>
      </c>
      <c r="AO3" s="4">
        <v>2</v>
      </c>
      <c r="AP3" s="5">
        <v>15</v>
      </c>
      <c r="AQ3" s="16"/>
      <c r="AR3" s="6"/>
      <c r="AS3" s="4">
        <v>2</v>
      </c>
      <c r="AT3" s="5">
        <v>12</v>
      </c>
      <c r="AU3" s="17"/>
      <c r="AV3" s="7"/>
      <c r="AW3" s="4">
        <v>2</v>
      </c>
      <c r="AX3" s="5">
        <v>10</v>
      </c>
      <c r="AY3" s="16"/>
      <c r="AZ3" s="6"/>
    </row>
    <row r="4" spans="1:52" ht="16" thickBot="1" x14ac:dyDescent="0.25">
      <c r="A4" t="s">
        <v>8</v>
      </c>
      <c r="B4" s="196" t="s">
        <v>7</v>
      </c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8"/>
      <c r="O4" s="196" t="s">
        <v>21</v>
      </c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8"/>
      <c r="AB4" s="202" t="s">
        <v>23</v>
      </c>
      <c r="AC4" s="203"/>
      <c r="AD4" s="203"/>
      <c r="AE4" s="203"/>
      <c r="AF4" s="203"/>
      <c r="AG4" s="203"/>
      <c r="AH4" s="203"/>
      <c r="AI4" s="203"/>
      <c r="AJ4" s="203"/>
      <c r="AK4" s="203"/>
      <c r="AL4" s="203"/>
      <c r="AM4" s="204"/>
      <c r="AN4" t="s">
        <v>117</v>
      </c>
      <c r="AO4" s="196" t="s">
        <v>32</v>
      </c>
      <c r="AP4" s="197"/>
      <c r="AQ4" s="197"/>
      <c r="AR4" s="197"/>
      <c r="AS4" s="197"/>
      <c r="AT4" s="197"/>
      <c r="AU4" s="197"/>
      <c r="AV4" s="197"/>
      <c r="AW4" s="197"/>
      <c r="AX4" s="197"/>
      <c r="AY4" s="197"/>
      <c r="AZ4" s="198"/>
    </row>
    <row r="5" spans="1:52" ht="16" thickBot="1" x14ac:dyDescent="0.25">
      <c r="A5" t="s">
        <v>26</v>
      </c>
      <c r="B5" s="2" t="s">
        <v>1</v>
      </c>
      <c r="C5" s="1" t="s">
        <v>6</v>
      </c>
      <c r="D5" s="1" t="s">
        <v>0</v>
      </c>
      <c r="E5" s="3"/>
      <c r="F5" s="2" t="s">
        <v>1</v>
      </c>
      <c r="G5" s="1" t="s">
        <v>6</v>
      </c>
      <c r="H5" s="1" t="s">
        <v>0</v>
      </c>
      <c r="I5" s="3"/>
      <c r="J5" s="2" t="s">
        <v>1</v>
      </c>
      <c r="K5" s="1" t="s">
        <v>6</v>
      </c>
      <c r="L5" s="1" t="s">
        <v>0</v>
      </c>
      <c r="M5" s="18"/>
      <c r="O5" s="2" t="s">
        <v>1</v>
      </c>
      <c r="P5" s="1" t="s">
        <v>6</v>
      </c>
      <c r="Q5" s="1" t="s">
        <v>0</v>
      </c>
      <c r="R5" s="3"/>
      <c r="S5" s="2" t="s">
        <v>1</v>
      </c>
      <c r="T5" s="1" t="s">
        <v>6</v>
      </c>
      <c r="U5" s="1" t="s">
        <v>0</v>
      </c>
      <c r="V5" s="3"/>
      <c r="W5" s="2" t="s">
        <v>1</v>
      </c>
      <c r="X5" s="1" t="s">
        <v>6</v>
      </c>
      <c r="Y5" s="1" t="s">
        <v>0</v>
      </c>
      <c r="Z5" s="18"/>
      <c r="AB5" s="2" t="s">
        <v>1</v>
      </c>
      <c r="AC5" s="1" t="s">
        <v>6</v>
      </c>
      <c r="AD5" s="1" t="s">
        <v>0</v>
      </c>
      <c r="AE5" s="3"/>
      <c r="AF5" s="2" t="s">
        <v>1</v>
      </c>
      <c r="AG5" s="1" t="s">
        <v>6</v>
      </c>
      <c r="AH5" s="1" t="s">
        <v>0</v>
      </c>
      <c r="AI5" s="3"/>
      <c r="AJ5" s="2" t="s">
        <v>1</v>
      </c>
      <c r="AK5" s="1" t="s">
        <v>6</v>
      </c>
      <c r="AL5" s="1" t="s">
        <v>0</v>
      </c>
      <c r="AM5" s="18"/>
      <c r="AO5" s="2" t="s">
        <v>1</v>
      </c>
      <c r="AP5" s="1" t="s">
        <v>6</v>
      </c>
      <c r="AQ5" s="1" t="s">
        <v>0</v>
      </c>
      <c r="AR5" s="3"/>
      <c r="AS5" s="2" t="s">
        <v>1</v>
      </c>
      <c r="AT5" s="1" t="s">
        <v>6</v>
      </c>
      <c r="AU5" s="1" t="s">
        <v>0</v>
      </c>
      <c r="AV5" s="3"/>
      <c r="AW5" s="2" t="s">
        <v>1</v>
      </c>
      <c r="AX5" s="1" t="s">
        <v>6</v>
      </c>
      <c r="AY5" s="1" t="s">
        <v>0</v>
      </c>
      <c r="AZ5" s="18"/>
    </row>
    <row r="6" spans="1:52" ht="16" thickBot="1" x14ac:dyDescent="0.25">
      <c r="A6" t="s">
        <v>9</v>
      </c>
      <c r="B6" s="4">
        <v>3</v>
      </c>
      <c r="C6" s="5">
        <v>10</v>
      </c>
      <c r="D6" s="16">
        <v>0.6</v>
      </c>
      <c r="E6" s="6"/>
      <c r="F6" s="4">
        <v>3</v>
      </c>
      <c r="G6" s="5">
        <v>10</v>
      </c>
      <c r="H6" s="17">
        <v>0.67500000000000004</v>
      </c>
      <c r="I6" s="7"/>
      <c r="J6" s="4">
        <v>3</v>
      </c>
      <c r="K6" s="5">
        <v>10</v>
      </c>
      <c r="L6" s="16">
        <v>0.75</v>
      </c>
      <c r="M6" s="6"/>
      <c r="O6" s="4">
        <v>4</v>
      </c>
      <c r="P6" s="5">
        <v>8</v>
      </c>
      <c r="Q6" s="16"/>
      <c r="R6" s="21" t="s">
        <v>104</v>
      </c>
      <c r="S6" s="4">
        <v>4</v>
      </c>
      <c r="T6" s="5">
        <v>6</v>
      </c>
      <c r="U6" s="17"/>
      <c r="V6" s="21" t="s">
        <v>104</v>
      </c>
      <c r="W6" s="4">
        <v>4</v>
      </c>
      <c r="X6" s="5">
        <v>4</v>
      </c>
      <c r="Y6" s="16"/>
      <c r="Z6" s="21" t="s">
        <v>104</v>
      </c>
      <c r="AB6" s="4">
        <v>3</v>
      </c>
      <c r="AC6" s="5">
        <v>8</v>
      </c>
      <c r="AD6" s="16"/>
      <c r="AE6" s="6"/>
      <c r="AF6" s="4">
        <v>3</v>
      </c>
      <c r="AG6" s="5">
        <v>10</v>
      </c>
      <c r="AH6" s="17"/>
      <c r="AI6" s="7"/>
      <c r="AJ6" s="4">
        <v>3</v>
      </c>
      <c r="AK6" s="5">
        <v>12</v>
      </c>
      <c r="AL6" s="16"/>
      <c r="AM6" s="6"/>
      <c r="AO6" s="4">
        <v>2</v>
      </c>
      <c r="AP6" s="5">
        <v>10</v>
      </c>
      <c r="AQ6" s="16"/>
      <c r="AR6" s="6"/>
      <c r="AS6" s="4">
        <v>2</v>
      </c>
      <c r="AT6" s="5">
        <v>12</v>
      </c>
      <c r="AU6" s="17"/>
      <c r="AV6" s="7"/>
      <c r="AW6" s="4">
        <v>2</v>
      </c>
      <c r="AX6" s="5">
        <v>15</v>
      </c>
      <c r="AY6" s="16"/>
      <c r="AZ6" s="6"/>
    </row>
    <row r="7" spans="1:52" ht="16" thickBot="1" x14ac:dyDescent="0.25">
      <c r="A7" t="s">
        <v>27</v>
      </c>
      <c r="B7" s="202" t="s">
        <v>25</v>
      </c>
      <c r="C7" s="203"/>
      <c r="D7" s="203"/>
      <c r="E7" s="203"/>
      <c r="F7" s="203"/>
      <c r="G7" s="203"/>
      <c r="H7" s="203"/>
      <c r="I7" s="203"/>
      <c r="J7" s="203"/>
      <c r="K7" s="203"/>
      <c r="L7" s="203"/>
      <c r="M7" s="204"/>
      <c r="AB7" s="199" t="s">
        <v>142</v>
      </c>
      <c r="AC7" s="200"/>
      <c r="AD7" s="200"/>
      <c r="AE7" s="200"/>
      <c r="AF7" s="200"/>
      <c r="AG7" s="200"/>
      <c r="AH7" s="200"/>
      <c r="AI7" s="200"/>
      <c r="AJ7" s="200"/>
      <c r="AK7" s="200"/>
      <c r="AL7" s="200"/>
      <c r="AM7" s="201"/>
      <c r="AO7" s="196" t="s">
        <v>110</v>
      </c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8"/>
    </row>
    <row r="8" spans="1:52" ht="16" thickBot="1" x14ac:dyDescent="0.25">
      <c r="A8" t="s">
        <v>10</v>
      </c>
      <c r="B8" s="2" t="s">
        <v>1</v>
      </c>
      <c r="C8" s="1" t="s">
        <v>6</v>
      </c>
      <c r="D8" s="1" t="s">
        <v>0</v>
      </c>
      <c r="E8" s="3"/>
      <c r="F8" s="2" t="s">
        <v>1</v>
      </c>
      <c r="G8" s="1" t="s">
        <v>6</v>
      </c>
      <c r="H8" s="1" t="s">
        <v>0</v>
      </c>
      <c r="I8" s="3"/>
      <c r="J8" s="2" t="s">
        <v>1</v>
      </c>
      <c r="K8" s="1" t="s">
        <v>6</v>
      </c>
      <c r="L8" s="1" t="s">
        <v>0</v>
      </c>
      <c r="M8" s="18"/>
      <c r="AB8" s="2" t="s">
        <v>1</v>
      </c>
      <c r="AC8" s="1" t="s">
        <v>6</v>
      </c>
      <c r="AD8" s="1" t="s">
        <v>0</v>
      </c>
      <c r="AE8" s="3"/>
      <c r="AF8" s="2" t="s">
        <v>1</v>
      </c>
      <c r="AG8" s="1" t="s">
        <v>6</v>
      </c>
      <c r="AH8" s="1" t="s">
        <v>0</v>
      </c>
      <c r="AI8" s="3"/>
      <c r="AJ8" s="2" t="s">
        <v>1</v>
      </c>
      <c r="AK8" s="1" t="s">
        <v>6</v>
      </c>
      <c r="AL8" s="1" t="s">
        <v>0</v>
      </c>
      <c r="AM8" s="18"/>
      <c r="AO8" s="2" t="s">
        <v>1</v>
      </c>
      <c r="AP8" s="1" t="s">
        <v>6</v>
      </c>
      <c r="AQ8" s="1" t="s">
        <v>0</v>
      </c>
      <c r="AR8" s="3"/>
      <c r="AS8" s="2" t="s">
        <v>1</v>
      </c>
      <c r="AT8" s="1" t="s">
        <v>6</v>
      </c>
      <c r="AU8" s="1" t="s">
        <v>0</v>
      </c>
      <c r="AV8" s="3"/>
      <c r="AW8" s="2" t="s">
        <v>1</v>
      </c>
      <c r="AX8" s="1" t="s">
        <v>6</v>
      </c>
      <c r="AY8" s="1" t="s">
        <v>0</v>
      </c>
      <c r="AZ8" s="18"/>
    </row>
    <row r="9" spans="1:52" ht="16" thickBot="1" x14ac:dyDescent="0.25">
      <c r="A9" t="s">
        <v>28</v>
      </c>
      <c r="B9" s="4">
        <v>5</v>
      </c>
      <c r="C9" s="5">
        <v>5</v>
      </c>
      <c r="D9" s="16">
        <v>0.6</v>
      </c>
      <c r="E9" s="6"/>
      <c r="F9" s="4">
        <v>6</v>
      </c>
      <c r="G9" s="5">
        <v>4</v>
      </c>
      <c r="H9" s="17">
        <v>0.72499999999999998</v>
      </c>
      <c r="I9" s="7"/>
      <c r="J9" s="4">
        <v>6</v>
      </c>
      <c r="K9" s="5">
        <v>3</v>
      </c>
      <c r="L9" s="16">
        <v>0.8</v>
      </c>
      <c r="M9" s="6"/>
      <c r="AB9" s="4">
        <v>3</v>
      </c>
      <c r="AC9" s="5" t="s">
        <v>143</v>
      </c>
      <c r="AD9" s="16"/>
      <c r="AE9" s="6"/>
      <c r="AF9" s="4">
        <v>3</v>
      </c>
      <c r="AG9" s="5" t="s">
        <v>144</v>
      </c>
      <c r="AH9" s="17"/>
      <c r="AI9" s="7"/>
      <c r="AJ9" s="4">
        <v>3</v>
      </c>
      <c r="AK9" s="5" t="s">
        <v>145</v>
      </c>
      <c r="AL9" s="16"/>
      <c r="AM9" s="6"/>
      <c r="AO9" s="4">
        <v>2</v>
      </c>
      <c r="AP9" s="5" t="s">
        <v>111</v>
      </c>
      <c r="AQ9" s="16"/>
      <c r="AR9" s="6"/>
      <c r="AS9" s="4">
        <v>2</v>
      </c>
      <c r="AT9" s="5" t="s">
        <v>111</v>
      </c>
      <c r="AU9" s="17"/>
      <c r="AV9" s="7"/>
      <c r="AW9" s="4">
        <v>2</v>
      </c>
      <c r="AX9" s="5" t="s">
        <v>111</v>
      </c>
      <c r="AY9" s="16"/>
      <c r="AZ9" s="6"/>
    </row>
    <row r="10" spans="1:52" ht="16" thickBot="1" x14ac:dyDescent="0.25">
      <c r="A10" t="s">
        <v>11</v>
      </c>
      <c r="B10" s="196" t="s">
        <v>8</v>
      </c>
      <c r="C10" s="197"/>
      <c r="D10" s="197"/>
      <c r="E10" s="197"/>
      <c r="F10" s="197"/>
      <c r="G10" s="197"/>
      <c r="H10" s="197"/>
      <c r="I10" s="197"/>
      <c r="J10" s="197"/>
      <c r="K10" s="197"/>
      <c r="L10" s="197"/>
      <c r="M10" s="198"/>
      <c r="AO10" s="196" t="s">
        <v>117</v>
      </c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8"/>
    </row>
    <row r="11" spans="1:52" ht="16" thickBot="1" x14ac:dyDescent="0.25">
      <c r="A11" t="s">
        <v>20</v>
      </c>
      <c r="B11" s="2" t="s">
        <v>1</v>
      </c>
      <c r="C11" s="1" t="s">
        <v>6</v>
      </c>
      <c r="D11" s="1" t="s">
        <v>0</v>
      </c>
      <c r="E11" s="3"/>
      <c r="F11" s="2" t="s">
        <v>1</v>
      </c>
      <c r="G11" s="1" t="s">
        <v>6</v>
      </c>
      <c r="H11" s="1" t="s">
        <v>0</v>
      </c>
      <c r="I11" s="3"/>
      <c r="J11" s="2" t="s">
        <v>1</v>
      </c>
      <c r="K11" s="1" t="s">
        <v>6</v>
      </c>
      <c r="L11" s="1" t="s">
        <v>0</v>
      </c>
      <c r="M11" s="18"/>
      <c r="AO11" s="2" t="s">
        <v>1</v>
      </c>
      <c r="AP11" s="1" t="s">
        <v>6</v>
      </c>
      <c r="AQ11" s="1" t="s">
        <v>0</v>
      </c>
      <c r="AR11" s="3"/>
      <c r="AS11" s="2" t="s">
        <v>1</v>
      </c>
      <c r="AT11" s="1" t="s">
        <v>6</v>
      </c>
      <c r="AU11" s="1" t="s">
        <v>0</v>
      </c>
      <c r="AV11" s="3"/>
      <c r="AW11" s="2" t="s">
        <v>1</v>
      </c>
      <c r="AX11" s="1" t="s">
        <v>6</v>
      </c>
      <c r="AY11" s="1" t="s">
        <v>0</v>
      </c>
      <c r="AZ11" s="18"/>
    </row>
    <row r="12" spans="1:52" ht="16" thickBot="1" x14ac:dyDescent="0.25">
      <c r="A12" t="s">
        <v>19</v>
      </c>
      <c r="B12" s="4">
        <v>4</v>
      </c>
      <c r="C12" s="5">
        <v>8</v>
      </c>
      <c r="D12" s="16">
        <v>0.65</v>
      </c>
      <c r="E12" s="6"/>
      <c r="F12" s="4">
        <v>4</v>
      </c>
      <c r="G12" s="5">
        <v>8</v>
      </c>
      <c r="H12" s="17">
        <v>0.72499999999999998</v>
      </c>
      <c r="I12" s="7"/>
      <c r="J12" s="4">
        <v>4</v>
      </c>
      <c r="K12" s="5">
        <v>8</v>
      </c>
      <c r="L12" s="16">
        <v>0.8</v>
      </c>
      <c r="M12" s="6"/>
      <c r="AO12" s="4">
        <v>2</v>
      </c>
      <c r="AP12" s="5">
        <v>10</v>
      </c>
      <c r="AQ12" s="16"/>
      <c r="AR12" s="6"/>
      <c r="AS12" s="4">
        <v>2</v>
      </c>
      <c r="AT12" s="5">
        <v>10</v>
      </c>
      <c r="AU12" s="17"/>
      <c r="AV12" s="7"/>
      <c r="AW12" s="4">
        <v>2</v>
      </c>
      <c r="AX12" s="5">
        <v>10</v>
      </c>
      <c r="AY12" s="16"/>
      <c r="AZ12" s="6"/>
    </row>
    <row r="13" spans="1:52" ht="16" thickBot="1" x14ac:dyDescent="0.25">
      <c r="B13" s="196" t="s">
        <v>26</v>
      </c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8"/>
    </row>
    <row r="14" spans="1:52" ht="16" thickBot="1" x14ac:dyDescent="0.25">
      <c r="B14" s="2" t="s">
        <v>1</v>
      </c>
      <c r="C14" s="1" t="s">
        <v>6</v>
      </c>
      <c r="D14" s="1" t="s">
        <v>0</v>
      </c>
      <c r="E14" s="3"/>
      <c r="F14" s="2" t="s">
        <v>1</v>
      </c>
      <c r="G14" s="1" t="s">
        <v>6</v>
      </c>
      <c r="H14" s="1" t="s">
        <v>0</v>
      </c>
      <c r="I14" s="3"/>
      <c r="J14" s="2" t="s">
        <v>1</v>
      </c>
      <c r="K14" s="1" t="s">
        <v>6</v>
      </c>
      <c r="L14" s="1" t="s">
        <v>0</v>
      </c>
      <c r="M14" s="18"/>
    </row>
    <row r="15" spans="1:52" ht="16" thickBot="1" x14ac:dyDescent="0.25">
      <c r="B15" s="4">
        <v>5</v>
      </c>
      <c r="C15" s="5">
        <v>4</v>
      </c>
      <c r="D15" s="16">
        <v>0.7</v>
      </c>
      <c r="E15" s="6"/>
      <c r="F15" s="4">
        <v>6</v>
      </c>
      <c r="G15" s="5">
        <v>3</v>
      </c>
      <c r="H15" s="17">
        <v>0.77500000000000002</v>
      </c>
      <c r="I15" s="7"/>
      <c r="J15" s="4">
        <v>6</v>
      </c>
      <c r="K15" s="5">
        <v>2</v>
      </c>
      <c r="L15" s="16">
        <v>0.85</v>
      </c>
      <c r="M15" s="6"/>
    </row>
    <row r="16" spans="1:52" ht="16" thickBot="1" x14ac:dyDescent="0.25">
      <c r="B16" s="196" t="s">
        <v>9</v>
      </c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8"/>
    </row>
    <row r="17" spans="2:13" ht="16" thickBot="1" x14ac:dyDescent="0.25">
      <c r="B17" s="2" t="s">
        <v>1</v>
      </c>
      <c r="C17" s="1" t="s">
        <v>6</v>
      </c>
      <c r="D17" s="1" t="s">
        <v>0</v>
      </c>
      <c r="E17" s="3"/>
      <c r="F17" s="2" t="s">
        <v>1</v>
      </c>
      <c r="G17" s="1" t="s">
        <v>6</v>
      </c>
      <c r="H17" s="1" t="s">
        <v>0</v>
      </c>
      <c r="I17" s="3"/>
      <c r="J17" s="2" t="s">
        <v>1</v>
      </c>
      <c r="K17" s="1" t="s">
        <v>6</v>
      </c>
      <c r="L17" s="1" t="s">
        <v>0</v>
      </c>
      <c r="M17" s="18"/>
    </row>
    <row r="18" spans="2:13" ht="16" thickBot="1" x14ac:dyDescent="0.25">
      <c r="B18" s="4">
        <v>5</v>
      </c>
      <c r="C18" s="5">
        <v>5</v>
      </c>
      <c r="D18" s="16">
        <v>0.7</v>
      </c>
      <c r="E18" s="6"/>
      <c r="F18" s="4">
        <v>5</v>
      </c>
      <c r="G18" s="5">
        <v>5</v>
      </c>
      <c r="H18" s="17">
        <v>0.77500000000000002</v>
      </c>
      <c r="I18" s="7"/>
      <c r="J18" s="4">
        <v>5</v>
      </c>
      <c r="K18" s="5">
        <v>5</v>
      </c>
      <c r="L18" s="16">
        <v>0.85</v>
      </c>
      <c r="M18" s="6"/>
    </row>
    <row r="19" spans="2:13" ht="16" thickBot="1" x14ac:dyDescent="0.25">
      <c r="B19" s="196" t="s">
        <v>27</v>
      </c>
      <c r="C19" s="197"/>
      <c r="D19" s="197"/>
      <c r="E19" s="197"/>
      <c r="F19" s="197"/>
      <c r="G19" s="197"/>
      <c r="H19" s="197"/>
      <c r="I19" s="197"/>
      <c r="J19" s="197"/>
      <c r="K19" s="197"/>
      <c r="L19" s="197"/>
      <c r="M19" s="198"/>
    </row>
    <row r="20" spans="2:13" ht="16" thickBot="1" x14ac:dyDescent="0.25">
      <c r="B20" s="2" t="s">
        <v>1</v>
      </c>
      <c r="C20" s="1" t="s">
        <v>6</v>
      </c>
      <c r="D20" s="1" t="s">
        <v>0</v>
      </c>
      <c r="E20" s="3"/>
      <c r="F20" s="2" t="s">
        <v>1</v>
      </c>
      <c r="G20" s="1" t="s">
        <v>6</v>
      </c>
      <c r="H20" s="1" t="s">
        <v>0</v>
      </c>
      <c r="I20" s="3"/>
      <c r="J20" s="2" t="s">
        <v>1</v>
      </c>
      <c r="K20" s="1" t="s">
        <v>6</v>
      </c>
      <c r="L20" s="1" t="s">
        <v>0</v>
      </c>
      <c r="M20" s="18"/>
    </row>
    <row r="21" spans="2:13" ht="16" thickBot="1" x14ac:dyDescent="0.25">
      <c r="B21" s="4">
        <v>5</v>
      </c>
      <c r="C21" s="5">
        <v>3</v>
      </c>
      <c r="D21" s="16">
        <v>0.75</v>
      </c>
      <c r="E21" s="6"/>
      <c r="F21" s="4">
        <v>6</v>
      </c>
      <c r="G21" s="5">
        <v>2</v>
      </c>
      <c r="H21" s="17">
        <v>0.82499999999999996</v>
      </c>
      <c r="I21" s="7"/>
      <c r="J21" s="4">
        <v>6</v>
      </c>
      <c r="K21" s="5">
        <v>1</v>
      </c>
      <c r="L21" s="16">
        <v>0.9</v>
      </c>
      <c r="M21" s="6"/>
    </row>
    <row r="22" spans="2:13" ht="16" thickBot="1" x14ac:dyDescent="0.25">
      <c r="B22" s="196" t="s">
        <v>10</v>
      </c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8"/>
    </row>
    <row r="23" spans="2:13" ht="16" thickBot="1" x14ac:dyDescent="0.25">
      <c r="B23" s="2" t="s">
        <v>1</v>
      </c>
      <c r="C23" s="1" t="s">
        <v>6</v>
      </c>
      <c r="D23" s="1" t="s">
        <v>0</v>
      </c>
      <c r="E23" s="3"/>
      <c r="F23" s="2" t="s">
        <v>1</v>
      </c>
      <c r="G23" s="1" t="s">
        <v>6</v>
      </c>
      <c r="H23" s="1" t="s">
        <v>0</v>
      </c>
      <c r="I23" s="3"/>
      <c r="J23" s="2" t="s">
        <v>1</v>
      </c>
      <c r="K23" s="1" t="s">
        <v>6</v>
      </c>
      <c r="L23" s="1" t="s">
        <v>0</v>
      </c>
      <c r="M23" s="18"/>
    </row>
    <row r="24" spans="2:13" ht="16" thickBot="1" x14ac:dyDescent="0.25">
      <c r="B24" s="4">
        <v>6</v>
      </c>
      <c r="C24" s="5">
        <v>3</v>
      </c>
      <c r="D24" s="16">
        <v>0.75</v>
      </c>
      <c r="E24" s="6"/>
      <c r="F24" s="4">
        <v>6</v>
      </c>
      <c r="G24" s="5">
        <v>3</v>
      </c>
      <c r="H24" s="17">
        <v>0.82499999999999996</v>
      </c>
      <c r="I24" s="7"/>
      <c r="J24" s="4">
        <v>6</v>
      </c>
      <c r="K24" s="5">
        <v>3</v>
      </c>
      <c r="L24" s="16">
        <v>0.9</v>
      </c>
      <c r="M24" s="6"/>
    </row>
    <row r="25" spans="2:13" ht="16" thickBot="1" x14ac:dyDescent="0.25">
      <c r="B25" s="196" t="s">
        <v>28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8"/>
    </row>
    <row r="26" spans="2:13" ht="16" thickBot="1" x14ac:dyDescent="0.25">
      <c r="B26" s="2" t="s">
        <v>1</v>
      </c>
      <c r="C26" s="1" t="s">
        <v>6</v>
      </c>
      <c r="D26" s="1" t="s">
        <v>0</v>
      </c>
      <c r="E26" s="3"/>
      <c r="F26" s="2" t="s">
        <v>1</v>
      </c>
      <c r="G26" s="1" t="s">
        <v>6</v>
      </c>
      <c r="H26" s="1" t="s">
        <v>0</v>
      </c>
      <c r="I26" s="3"/>
      <c r="J26" s="2" t="s">
        <v>1</v>
      </c>
      <c r="K26" s="1" t="s">
        <v>6</v>
      </c>
      <c r="L26" s="1" t="s">
        <v>0</v>
      </c>
      <c r="M26" s="18"/>
    </row>
    <row r="27" spans="2:13" ht="16" thickBot="1" x14ac:dyDescent="0.25">
      <c r="B27" s="4">
        <v>5</v>
      </c>
      <c r="C27" s="5">
        <v>3</v>
      </c>
      <c r="D27" s="16" t="s">
        <v>15</v>
      </c>
      <c r="E27" s="6"/>
      <c r="F27" s="4">
        <v>6</v>
      </c>
      <c r="G27" s="5">
        <v>2</v>
      </c>
      <c r="H27" s="17" t="s">
        <v>13</v>
      </c>
      <c r="I27" s="7"/>
      <c r="J27" s="4">
        <v>6</v>
      </c>
      <c r="K27" s="5">
        <v>1</v>
      </c>
      <c r="L27" s="16" t="s">
        <v>14</v>
      </c>
      <c r="M27" s="6"/>
    </row>
    <row r="28" spans="2:13" ht="16" thickBot="1" x14ac:dyDescent="0.25">
      <c r="B28" s="196" t="s">
        <v>11</v>
      </c>
      <c r="C28" s="197"/>
      <c r="D28" s="197"/>
      <c r="E28" s="197"/>
      <c r="F28" s="197"/>
      <c r="G28" s="197"/>
      <c r="H28" s="197"/>
      <c r="I28" s="197"/>
      <c r="J28" s="197"/>
      <c r="K28" s="197"/>
      <c r="L28" s="197"/>
      <c r="M28" s="198"/>
    </row>
    <row r="29" spans="2:13" ht="16" thickBot="1" x14ac:dyDescent="0.25">
      <c r="B29" s="2" t="s">
        <v>1</v>
      </c>
      <c r="C29" s="1" t="s">
        <v>6</v>
      </c>
      <c r="D29" s="1" t="s">
        <v>0</v>
      </c>
      <c r="E29" s="3"/>
      <c r="F29" s="2" t="s">
        <v>1</v>
      </c>
      <c r="G29" s="1" t="s">
        <v>6</v>
      </c>
      <c r="H29" s="1" t="s">
        <v>0</v>
      </c>
      <c r="I29" s="3"/>
      <c r="J29" s="2" t="s">
        <v>1</v>
      </c>
      <c r="K29" s="1" t="s">
        <v>6</v>
      </c>
      <c r="L29" s="1" t="s">
        <v>0</v>
      </c>
      <c r="M29" s="18"/>
    </row>
    <row r="30" spans="2:13" ht="16" thickBot="1" x14ac:dyDescent="0.25">
      <c r="B30" s="4">
        <v>3</v>
      </c>
      <c r="C30" s="5">
        <v>5</v>
      </c>
      <c r="D30" s="16" t="s">
        <v>12</v>
      </c>
      <c r="E30" s="6"/>
      <c r="F30" s="4">
        <v>3</v>
      </c>
      <c r="G30" s="5">
        <v>3</v>
      </c>
      <c r="H30" s="17" t="s">
        <v>16</v>
      </c>
      <c r="I30" s="7"/>
      <c r="J30" s="4">
        <v>1</v>
      </c>
      <c r="K30" s="8" t="s">
        <v>17</v>
      </c>
      <c r="L30" s="16" t="s">
        <v>18</v>
      </c>
      <c r="M30" s="6"/>
    </row>
    <row r="31" spans="2:13" ht="16" thickBot="1" x14ac:dyDescent="0.25">
      <c r="B31" s="196" t="s">
        <v>20</v>
      </c>
      <c r="C31" s="197"/>
      <c r="D31" s="197"/>
      <c r="E31" s="197"/>
      <c r="F31" s="197"/>
      <c r="G31" s="197"/>
      <c r="H31" s="197"/>
      <c r="I31" s="197"/>
      <c r="J31" s="197"/>
      <c r="K31" s="197"/>
      <c r="L31" s="197"/>
      <c r="M31" s="198"/>
    </row>
    <row r="32" spans="2:13" ht="16" thickBot="1" x14ac:dyDescent="0.25">
      <c r="B32" s="2" t="s">
        <v>1</v>
      </c>
      <c r="C32" s="1" t="s">
        <v>6</v>
      </c>
      <c r="D32" s="1" t="s">
        <v>0</v>
      </c>
      <c r="E32" s="3"/>
      <c r="F32" s="2" t="s">
        <v>1</v>
      </c>
      <c r="G32" s="1" t="s">
        <v>6</v>
      </c>
      <c r="H32" s="1" t="s">
        <v>0</v>
      </c>
      <c r="I32" s="3"/>
      <c r="J32" s="2" t="s">
        <v>1</v>
      </c>
      <c r="K32" s="1" t="s">
        <v>6</v>
      </c>
      <c r="L32" s="1" t="s">
        <v>0</v>
      </c>
      <c r="M32" s="18"/>
    </row>
    <row r="33" spans="2:13" ht="16" thickBot="1" x14ac:dyDescent="0.25">
      <c r="B33" s="4">
        <v>8</v>
      </c>
      <c r="C33" s="5">
        <v>3</v>
      </c>
      <c r="D33" s="16">
        <v>0.5</v>
      </c>
      <c r="E33" s="6"/>
      <c r="F33" s="4">
        <v>10</v>
      </c>
      <c r="G33" s="5">
        <v>2</v>
      </c>
      <c r="H33" s="17">
        <v>0.55000000000000004</v>
      </c>
      <c r="I33" s="7"/>
      <c r="J33" s="4">
        <v>10</v>
      </c>
      <c r="K33" s="5">
        <v>2</v>
      </c>
      <c r="L33" s="16">
        <v>0.6</v>
      </c>
      <c r="M33" s="6"/>
    </row>
    <row r="34" spans="2:13" ht="16" thickBot="1" x14ac:dyDescent="0.25">
      <c r="B34" s="196" t="s">
        <v>19</v>
      </c>
      <c r="C34" s="197"/>
      <c r="D34" s="197"/>
      <c r="E34" s="197"/>
      <c r="F34" s="197"/>
      <c r="G34" s="197"/>
      <c r="H34" s="197"/>
      <c r="I34" s="197"/>
      <c r="J34" s="197"/>
      <c r="K34" s="197"/>
      <c r="L34" s="197"/>
      <c r="M34" s="198"/>
    </row>
    <row r="35" spans="2:13" ht="16" thickBot="1" x14ac:dyDescent="0.25">
      <c r="B35" s="2" t="s">
        <v>1</v>
      </c>
      <c r="C35" s="1" t="s">
        <v>6</v>
      </c>
      <c r="D35" s="1" t="s">
        <v>0</v>
      </c>
      <c r="E35" s="3"/>
      <c r="F35" s="2" t="s">
        <v>1</v>
      </c>
      <c r="G35" s="1" t="s">
        <v>6</v>
      </c>
      <c r="H35" s="1" t="s">
        <v>0</v>
      </c>
      <c r="I35" s="3"/>
      <c r="J35" s="2" t="s">
        <v>1</v>
      </c>
      <c r="K35" s="1" t="s">
        <v>6</v>
      </c>
      <c r="L35" s="1" t="s">
        <v>0</v>
      </c>
      <c r="M35" s="18"/>
    </row>
    <row r="36" spans="2:13" ht="16" thickBot="1" x14ac:dyDescent="0.25">
      <c r="B36" s="4">
        <v>9</v>
      </c>
      <c r="C36" s="5">
        <v>3</v>
      </c>
      <c r="D36" s="16">
        <v>0.35</v>
      </c>
      <c r="E36" s="6"/>
      <c r="F36" s="4">
        <v>9</v>
      </c>
      <c r="G36" s="5">
        <v>3</v>
      </c>
      <c r="H36" s="17">
        <v>0.4</v>
      </c>
      <c r="I36" s="7"/>
      <c r="J36" s="4">
        <v>9</v>
      </c>
      <c r="K36" s="5">
        <v>3</v>
      </c>
      <c r="L36" s="16">
        <v>0.45</v>
      </c>
      <c r="M36" s="6"/>
    </row>
  </sheetData>
  <mergeCells count="21">
    <mergeCell ref="O1:Z1"/>
    <mergeCell ref="B34:M34"/>
    <mergeCell ref="B31:M31"/>
    <mergeCell ref="AB4:AM4"/>
    <mergeCell ref="AB1:AM1"/>
    <mergeCell ref="AO4:AZ4"/>
    <mergeCell ref="AO1:AZ1"/>
    <mergeCell ref="B28:M28"/>
    <mergeCell ref="B25:M25"/>
    <mergeCell ref="B22:M22"/>
    <mergeCell ref="B19:M19"/>
    <mergeCell ref="B16:M16"/>
    <mergeCell ref="B13:M13"/>
    <mergeCell ref="AO7:AZ7"/>
    <mergeCell ref="AO10:AZ10"/>
    <mergeCell ref="B10:M10"/>
    <mergeCell ref="B7:M7"/>
    <mergeCell ref="B4:M4"/>
    <mergeCell ref="B1:M1"/>
    <mergeCell ref="AB7:AM7"/>
    <mergeCell ref="O4:Z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0"/>
  <sheetViews>
    <sheetView workbookViewId="0">
      <selection activeCell="C37" sqref="C37"/>
    </sheetView>
  </sheetViews>
  <sheetFormatPr baseColWidth="10" defaultColWidth="8.83203125" defaultRowHeight="15" x14ac:dyDescent="0.2"/>
  <cols>
    <col min="1" max="1" width="18.1640625" bestFit="1" customWidth="1"/>
    <col min="2" max="2" width="17.6640625" bestFit="1" customWidth="1"/>
    <col min="3" max="3" width="21.1640625" bestFit="1" customWidth="1"/>
    <col min="4" max="4" width="19.33203125" bestFit="1" customWidth="1"/>
    <col min="5" max="6" width="17.6640625" bestFit="1" customWidth="1"/>
  </cols>
  <sheetData>
    <row r="1" spans="1:6" x14ac:dyDescent="0.2">
      <c r="A1" s="19" t="s">
        <v>101</v>
      </c>
      <c r="B1" s="19" t="s">
        <v>102</v>
      </c>
      <c r="C1" s="19" t="s">
        <v>103</v>
      </c>
      <c r="D1" s="19" t="s">
        <v>41</v>
      </c>
      <c r="E1" s="19" t="s">
        <v>42</v>
      </c>
      <c r="F1" s="19" t="s">
        <v>43</v>
      </c>
    </row>
    <row r="2" spans="1:6" x14ac:dyDescent="0.2">
      <c r="A2" t="s">
        <v>29</v>
      </c>
      <c r="B2" t="s">
        <v>55</v>
      </c>
      <c r="C2" t="s">
        <v>58</v>
      </c>
      <c r="D2" t="s">
        <v>64</v>
      </c>
      <c r="E2" t="s">
        <v>89</v>
      </c>
      <c r="F2" t="s">
        <v>92</v>
      </c>
    </row>
    <row r="3" spans="1:6" x14ac:dyDescent="0.2">
      <c r="A3" t="s">
        <v>44</v>
      </c>
      <c r="B3" t="s">
        <v>56</v>
      </c>
      <c r="C3" t="s">
        <v>67</v>
      </c>
      <c r="D3" t="s">
        <v>84</v>
      </c>
      <c r="E3" t="s">
        <v>90</v>
      </c>
      <c r="F3" t="s">
        <v>93</v>
      </c>
    </row>
    <row r="4" spans="1:6" x14ac:dyDescent="0.2">
      <c r="A4" s="20" t="s">
        <v>75</v>
      </c>
      <c r="B4" t="s">
        <v>57</v>
      </c>
      <c r="C4" t="s">
        <v>68</v>
      </c>
      <c r="D4" t="s">
        <v>85</v>
      </c>
      <c r="E4" t="s">
        <v>91</v>
      </c>
      <c r="F4" s="20" t="s">
        <v>94</v>
      </c>
    </row>
    <row r="5" spans="1:6" x14ac:dyDescent="0.2">
      <c r="A5" t="s">
        <v>45</v>
      </c>
      <c r="B5" t="s">
        <v>59</v>
      </c>
      <c r="C5" t="s">
        <v>69</v>
      </c>
      <c r="D5" t="s">
        <v>86</v>
      </c>
      <c r="E5" s="20" t="s">
        <v>141</v>
      </c>
      <c r="F5" s="20" t="s">
        <v>95</v>
      </c>
    </row>
    <row r="6" spans="1:6" x14ac:dyDescent="0.2">
      <c r="A6" t="s">
        <v>47</v>
      </c>
      <c r="B6" s="20" t="s">
        <v>75</v>
      </c>
      <c r="C6" s="20" t="s">
        <v>75</v>
      </c>
      <c r="D6" s="20" t="s">
        <v>75</v>
      </c>
      <c r="E6" s="20" t="s">
        <v>75</v>
      </c>
      <c r="F6" s="20" t="s">
        <v>75</v>
      </c>
    </row>
    <row r="7" spans="1:6" x14ac:dyDescent="0.2">
      <c r="A7" t="s">
        <v>48</v>
      </c>
      <c r="B7" t="s">
        <v>60</v>
      </c>
      <c r="C7" t="s">
        <v>72</v>
      </c>
      <c r="D7" t="s">
        <v>65</v>
      </c>
      <c r="F7" t="s">
        <v>116</v>
      </c>
    </row>
    <row r="8" spans="1:6" x14ac:dyDescent="0.2">
      <c r="A8" t="s">
        <v>46</v>
      </c>
      <c r="B8" t="s">
        <v>108</v>
      </c>
      <c r="C8" t="s">
        <v>70</v>
      </c>
      <c r="D8" t="s">
        <v>66</v>
      </c>
      <c r="F8" t="s">
        <v>98</v>
      </c>
    </row>
    <row r="9" spans="1:6" x14ac:dyDescent="0.2">
      <c r="A9" t="s">
        <v>53</v>
      </c>
      <c r="B9" t="s">
        <v>107</v>
      </c>
      <c r="C9" t="s">
        <v>71</v>
      </c>
      <c r="D9" s="20" t="s">
        <v>75</v>
      </c>
      <c r="F9" t="s">
        <v>96</v>
      </c>
    </row>
    <row r="10" spans="1:6" x14ac:dyDescent="0.2">
      <c r="A10" s="20" t="s">
        <v>75</v>
      </c>
      <c r="B10" t="s">
        <v>61</v>
      </c>
      <c r="C10" s="20" t="s">
        <v>75</v>
      </c>
      <c r="D10" t="s">
        <v>87</v>
      </c>
      <c r="F10" t="s">
        <v>97</v>
      </c>
    </row>
    <row r="11" spans="1:6" x14ac:dyDescent="0.2">
      <c r="A11" t="s">
        <v>49</v>
      </c>
      <c r="B11" s="20" t="s">
        <v>75</v>
      </c>
      <c r="C11" t="s">
        <v>76</v>
      </c>
      <c r="D11" t="s">
        <v>88</v>
      </c>
      <c r="F11" s="20" t="s">
        <v>75</v>
      </c>
    </row>
    <row r="12" spans="1:6" x14ac:dyDescent="0.2">
      <c r="A12" t="s">
        <v>50</v>
      </c>
      <c r="B12" t="s">
        <v>62</v>
      </c>
      <c r="C12" t="s">
        <v>77</v>
      </c>
      <c r="F12" t="s">
        <v>99</v>
      </c>
    </row>
    <row r="13" spans="1:6" x14ac:dyDescent="0.2">
      <c r="A13" t="s">
        <v>51</v>
      </c>
      <c r="B13" t="s">
        <v>63</v>
      </c>
      <c r="C13" t="s">
        <v>78</v>
      </c>
      <c r="F13" t="s">
        <v>100</v>
      </c>
    </row>
    <row r="14" spans="1:6" x14ac:dyDescent="0.2">
      <c r="A14" t="s">
        <v>52</v>
      </c>
      <c r="C14" s="20" t="s">
        <v>75</v>
      </c>
    </row>
    <row r="15" spans="1:6" x14ac:dyDescent="0.2">
      <c r="A15" t="s">
        <v>54</v>
      </c>
      <c r="C15" t="s">
        <v>79</v>
      </c>
    </row>
    <row r="16" spans="1:6" x14ac:dyDescent="0.2">
      <c r="A16" s="20" t="s">
        <v>75</v>
      </c>
      <c r="C16" t="s">
        <v>80</v>
      </c>
    </row>
    <row r="17" spans="1:3" x14ac:dyDescent="0.2">
      <c r="A17" t="s">
        <v>73</v>
      </c>
      <c r="C17" t="s">
        <v>81</v>
      </c>
    </row>
    <row r="18" spans="1:3" x14ac:dyDescent="0.2">
      <c r="A18" t="s">
        <v>74</v>
      </c>
      <c r="C18" t="s">
        <v>82</v>
      </c>
    </row>
    <row r="19" spans="1:3" x14ac:dyDescent="0.2">
      <c r="C19" t="s">
        <v>83</v>
      </c>
    </row>
    <row r="20" spans="1:3" x14ac:dyDescent="0.2">
      <c r="C20" t="s">
        <v>140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5"/>
  <sheetViews>
    <sheetView topLeftCell="A81" workbookViewId="0">
      <selection activeCell="A2" sqref="A2"/>
    </sheetView>
  </sheetViews>
  <sheetFormatPr baseColWidth="10" defaultColWidth="8.83203125" defaultRowHeight="15" x14ac:dyDescent="0.2"/>
  <cols>
    <col min="1" max="1" width="13" bestFit="1" customWidth="1"/>
  </cols>
  <sheetData>
    <row r="1" spans="1:5" x14ac:dyDescent="0.2">
      <c r="A1" t="s">
        <v>125</v>
      </c>
      <c r="B1" t="s">
        <v>127</v>
      </c>
      <c r="C1" t="s">
        <v>131</v>
      </c>
      <c r="D1" t="s">
        <v>132</v>
      </c>
      <c r="E1" t="s">
        <v>128</v>
      </c>
    </row>
    <row r="2" spans="1:5" x14ac:dyDescent="0.2">
      <c r="A2" t="s">
        <v>134</v>
      </c>
      <c r="B2">
        <v>50</v>
      </c>
      <c r="C2">
        <v>75</v>
      </c>
      <c r="D2">
        <v>85</v>
      </c>
      <c r="E2">
        <v>95</v>
      </c>
    </row>
    <row r="3" spans="1:5" x14ac:dyDescent="0.2">
      <c r="A3" t="s">
        <v>135</v>
      </c>
      <c r="B3">
        <v>405</v>
      </c>
      <c r="C3">
        <v>365</v>
      </c>
      <c r="D3">
        <v>300</v>
      </c>
      <c r="E3">
        <v>300</v>
      </c>
    </row>
    <row r="4" spans="1:5" x14ac:dyDescent="0.2">
      <c r="A4" t="s">
        <v>136</v>
      </c>
      <c r="B4">
        <v>1000</v>
      </c>
      <c r="C4">
        <v>2000</v>
      </c>
      <c r="D4">
        <v>150</v>
      </c>
      <c r="E4">
        <v>250</v>
      </c>
    </row>
    <row r="5" spans="1:5" x14ac:dyDescent="0.2">
      <c r="A5" t="s">
        <v>147</v>
      </c>
      <c r="B5">
        <v>135</v>
      </c>
      <c r="C5">
        <v>115</v>
      </c>
      <c r="D5">
        <v>85</v>
      </c>
      <c r="E5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6D1D36904924EB21EF110E2FA3EA5" ma:contentTypeVersion="29" ma:contentTypeDescription="Create a new document." ma:contentTypeScope="" ma:versionID="15b623d49c20b2c8443131750e5a029d">
  <xsd:schema xmlns:xsd="http://www.w3.org/2001/XMLSchema" xmlns:xs="http://www.w3.org/2001/XMLSchema" xmlns:p="http://schemas.microsoft.com/office/2006/metadata/properties" xmlns:ns2="88d52308-cce3-4ad8-a7fb-8e7ba05c821d" targetNamespace="http://schemas.microsoft.com/office/2006/metadata/properties" ma:root="true" ma:fieldsID="ff6473db487dfe2891b6c76ef7db8153" ns2:_="">
    <xsd:import namespace="88d52308-cce3-4ad8-a7fb-8e7ba05c821d"/>
    <xsd:element name="properties">
      <xsd:complexType>
        <xsd:sequence>
          <xsd:element name="documentManagement">
            <xsd:complexType>
              <xsd:all>
                <xsd:element ref="ns2:NotebookType" minOccurs="0"/>
                <xsd:element ref="ns2:FolderType" minOccurs="0"/>
                <xsd:element ref="ns2:CultureName" minOccurs="0"/>
                <xsd:element ref="ns2:AppVersion" minOccurs="0"/>
                <xsd:element ref="ns2:TeamsChannelId" minOccurs="0"/>
                <xsd:element ref="ns2:Owner" minOccurs="0"/>
                <xsd:element ref="ns2:Math_Settings" minOccurs="0"/>
                <xsd:element ref="ns2:DefaultSectionNames" minOccurs="0"/>
                <xsd:element ref="ns2:Templates" minOccurs="0"/>
                <xsd:element ref="ns2:Leaders" minOccurs="0"/>
                <xsd:element ref="ns2:Members" minOccurs="0"/>
                <xsd:element ref="ns2:Member_Groups" minOccurs="0"/>
                <xsd:element ref="ns2:Distribution_Groups" minOccurs="0"/>
                <xsd:element ref="ns2:LMS_Mappings" minOccurs="0"/>
                <xsd:element ref="ns2:Invited_Leaders" minOccurs="0"/>
                <xsd:element ref="ns2:Invited_Members" minOccurs="0"/>
                <xsd:element ref="ns2:Self_Registration_Enabled" minOccurs="0"/>
                <xsd:element ref="ns2:Has_Leaders_Only_SectionGroup" minOccurs="0"/>
                <xsd:element ref="ns2:Is_Collaboration_Space_Locked" minOccurs="0"/>
                <xsd:element ref="ns2:IsNotebookLocked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d52308-cce3-4ad8-a7fb-8e7ba05c821d" elementFormDefault="qualified">
    <xsd:import namespace="http://schemas.microsoft.com/office/2006/documentManagement/types"/>
    <xsd:import namespace="http://schemas.microsoft.com/office/infopath/2007/PartnerControls"/>
    <xsd:element name="NotebookType" ma:index="8" nillable="true" ma:displayName="Notebook Type" ma:internalName="NotebookType">
      <xsd:simpleType>
        <xsd:restriction base="dms:Text"/>
      </xsd:simpleType>
    </xsd:element>
    <xsd:element name="FolderType" ma:index="9" nillable="true" ma:displayName="Folder Type" ma:internalName="FolderType">
      <xsd:simpleType>
        <xsd:restriction base="dms:Text"/>
      </xsd:simpleType>
    </xsd:element>
    <xsd:element name="CultureName" ma:index="10" nillable="true" ma:displayName="Culture Name" ma:internalName="CultureName">
      <xsd:simpleType>
        <xsd:restriction base="dms:Text"/>
      </xsd:simpleType>
    </xsd:element>
    <xsd:element name="AppVersion" ma:index="11" nillable="true" ma:displayName="App Version" ma:internalName="AppVersion">
      <xsd:simpleType>
        <xsd:restriction base="dms:Text"/>
      </xsd:simpleType>
    </xsd:element>
    <xsd:element name="TeamsChannelId" ma:index="12" nillable="true" ma:displayName="Teams Channel Id" ma:internalName="TeamsChannelId">
      <xsd:simpleType>
        <xsd:restriction base="dms:Text"/>
      </xsd:simpleType>
    </xsd:element>
    <xsd:element name="Owner" ma:index="13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14" nillable="true" ma:displayName="Math Settings" ma:internalName="Math_Settings">
      <xsd:simpleType>
        <xsd:restriction base="dms:Text"/>
      </xsd:simpleType>
    </xsd:element>
    <xsd:element name="DefaultSectionNames" ma:index="15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16" nillable="true" ma:displayName="Templates" ma:internalName="Templates">
      <xsd:simpleType>
        <xsd:restriction base="dms:Note">
          <xsd:maxLength value="255"/>
        </xsd:restriction>
      </xsd:simpleType>
    </xsd:element>
    <xsd:element name="Leaders" ma:index="17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18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19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20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21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Leaders" ma:index="2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2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Self_Registration_Enabled" ma:index="24" nillable="true" ma:displayName="Self Registration Enabled" ma:internalName="Self_Registration_Enabled">
      <xsd:simpleType>
        <xsd:restriction base="dms:Boolean"/>
      </xsd:simpleType>
    </xsd:element>
    <xsd:element name="Has_Leaders_Only_SectionGroup" ma:index="25" nillable="true" ma:displayName="Has Leaders Only SectionGroup" ma:internalName="Has_Leaders_Only_SectionGroup">
      <xsd:simpleType>
        <xsd:restriction base="dms:Boolean"/>
      </xsd:simpleType>
    </xsd:element>
    <xsd:element name="Is_Collaboration_Space_Locked" ma:index="26" nillable="true" ma:displayName="Is Collaboration Space Locked" ma:internalName="Is_Collaboration_Space_Locked">
      <xsd:simpleType>
        <xsd:restriction base="dms:Boolean"/>
      </xsd:simpleType>
    </xsd:element>
    <xsd:element name="IsNotebookLocked" ma:index="27" nillable="true" ma:displayName="Is Notebook Locked" ma:internalName="IsNotebookLocked">
      <xsd:simpleType>
        <xsd:restriction base="dms:Boolean"/>
      </xsd:simpleType>
    </xsd:element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3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32" nillable="true" ma:displayName="Tags" ma:internalName="MediaServiceAutoTags" ma:readOnly="true">
      <xsd:simpleType>
        <xsd:restriction base="dms:Text"/>
      </xsd:simpleType>
    </xsd:element>
    <xsd:element name="MediaServiceGenerationTime" ma:index="3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36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msChannelId xmlns="88d52308-cce3-4ad8-a7fb-8e7ba05c821d" xsi:nil="true"/>
    <IsNotebookLocked xmlns="88d52308-cce3-4ad8-a7fb-8e7ba05c821d" xsi:nil="true"/>
    <Has_Leaders_Only_SectionGroup xmlns="88d52308-cce3-4ad8-a7fb-8e7ba05c821d" xsi:nil="true"/>
    <Owner xmlns="88d52308-cce3-4ad8-a7fb-8e7ba05c821d">
      <UserInfo>
        <DisplayName/>
        <AccountId xsi:nil="true"/>
        <AccountType/>
      </UserInfo>
    </Owner>
    <Math_Settings xmlns="88d52308-cce3-4ad8-a7fb-8e7ba05c821d" xsi:nil="true"/>
    <NotebookType xmlns="88d52308-cce3-4ad8-a7fb-8e7ba05c821d" xsi:nil="true"/>
    <AppVersion xmlns="88d52308-cce3-4ad8-a7fb-8e7ba05c821d" xsi:nil="true"/>
    <Self_Registration_Enabled xmlns="88d52308-cce3-4ad8-a7fb-8e7ba05c821d" xsi:nil="true"/>
    <FolderType xmlns="88d52308-cce3-4ad8-a7fb-8e7ba05c821d" xsi:nil="true"/>
    <Distribution_Groups xmlns="88d52308-cce3-4ad8-a7fb-8e7ba05c821d" xsi:nil="true"/>
    <LMS_Mappings xmlns="88d52308-cce3-4ad8-a7fb-8e7ba05c821d" xsi:nil="true"/>
    <Invited_Leaders xmlns="88d52308-cce3-4ad8-a7fb-8e7ba05c821d" xsi:nil="true"/>
    <Is_Collaboration_Space_Locked xmlns="88d52308-cce3-4ad8-a7fb-8e7ba05c821d" xsi:nil="true"/>
    <DefaultSectionNames xmlns="88d52308-cce3-4ad8-a7fb-8e7ba05c821d" xsi:nil="true"/>
    <Invited_Members xmlns="88d52308-cce3-4ad8-a7fb-8e7ba05c821d" xsi:nil="true"/>
    <Templates xmlns="88d52308-cce3-4ad8-a7fb-8e7ba05c821d" xsi:nil="true"/>
    <Members xmlns="88d52308-cce3-4ad8-a7fb-8e7ba05c821d">
      <UserInfo>
        <DisplayName/>
        <AccountId xsi:nil="true"/>
        <AccountType/>
      </UserInfo>
    </Members>
    <Member_Groups xmlns="88d52308-cce3-4ad8-a7fb-8e7ba05c821d">
      <UserInfo>
        <DisplayName/>
        <AccountId xsi:nil="true"/>
        <AccountType/>
      </UserInfo>
    </Member_Groups>
    <CultureName xmlns="88d52308-cce3-4ad8-a7fb-8e7ba05c821d" xsi:nil="true"/>
    <Leaders xmlns="88d52308-cce3-4ad8-a7fb-8e7ba05c821d">
      <UserInfo>
        <DisplayName/>
        <AccountId xsi:nil="true"/>
        <AccountType/>
      </UserInfo>
    </Leaders>
  </documentManagement>
</p:properties>
</file>

<file path=customXml/itemProps1.xml><?xml version="1.0" encoding="utf-8"?>
<ds:datastoreItem xmlns:ds="http://schemas.openxmlformats.org/officeDocument/2006/customXml" ds:itemID="{C67BB0D1-3DB1-4B9A-B336-F9DE5145857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5FED74-18A9-4961-A40C-2095999A6E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d52308-cce3-4ad8-a7fb-8e7ba05c82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B54934-F470-40EF-A911-47D0622BF4C8}">
  <ds:schemaRefs>
    <ds:schemaRef ds:uri="http://www.w3.org/XML/1998/namespace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88d52308-cce3-4ad8-a7fb-8e7ba05c821d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Program</vt:lpstr>
      <vt:lpstr>2-Day Total Body Split</vt:lpstr>
      <vt:lpstr>Program Sheet</vt:lpstr>
      <vt:lpstr>Exercise Selection</vt:lpstr>
      <vt:lpstr>Athlete Database</vt:lpstr>
      <vt:lpstr>Athlete_Max</vt:lpstr>
      <vt:lpstr>Athletes</vt:lpstr>
      <vt:lpstr>Catagories</vt:lpstr>
      <vt:lpstr>Core</vt:lpstr>
      <vt:lpstr>Lower_Body</vt:lpstr>
      <vt:lpstr>PC</vt:lpstr>
      <vt:lpstr>'2-Day Total Body Split'!Print_Area</vt:lpstr>
      <vt:lpstr>Program!Print_Area</vt:lpstr>
      <vt:lpstr>PS</vt:lpstr>
      <vt:lpstr>T_12</vt:lpstr>
      <vt:lpstr>T_3</vt:lpstr>
      <vt:lpstr>T_45</vt:lpstr>
      <vt:lpstr>T_67</vt:lpstr>
      <vt:lpstr>Tier_12</vt:lpstr>
      <vt:lpstr>Tier_12_Names</vt:lpstr>
      <vt:lpstr>Tier_3</vt:lpstr>
      <vt:lpstr>Tier_3_Names</vt:lpstr>
      <vt:lpstr>Tier_45</vt:lpstr>
      <vt:lpstr>Tier_45_Names</vt:lpstr>
      <vt:lpstr>Tier_67</vt:lpstr>
      <vt:lpstr>Tier_67_Names</vt:lpstr>
      <vt:lpstr>Total_Body</vt:lpstr>
      <vt:lpstr>Upper_Body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Carlson</dc:creator>
  <cp:lastModifiedBy>Jack Pharies</cp:lastModifiedBy>
  <cp:lastPrinted>2019-10-30T04:00:45Z</cp:lastPrinted>
  <dcterms:created xsi:type="dcterms:W3CDTF">2019-10-14T18:16:04Z</dcterms:created>
  <dcterms:modified xsi:type="dcterms:W3CDTF">2019-10-30T14:18:46Z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0x0101002F56D1D36904924EB21EF110E2FA3EA5</vt:lpwstr>
  </property>
</Properties>
</file>